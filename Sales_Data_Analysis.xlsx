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m\Downloads\"/>
    </mc:Choice>
  </mc:AlternateContent>
  <xr:revisionPtr revIDLastSave="0" documentId="8_{EF73AAEF-A910-41A2-8DA6-F01FE8CB390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2" r:id="rId1"/>
    <sheet name="Sheet2" sheetId="3" r:id="rId2"/>
    <sheet name="Sheet4" sheetId="5" r:id="rId3"/>
    <sheet name="DASH" sheetId="6" r:id="rId4"/>
    <sheet name="SalesData" sheetId="1" r:id="rId5"/>
  </sheets>
  <calcPr calcId="191029"/>
  <pivotCaches>
    <pivotCache cacheId="0" r:id="rId6"/>
    <pivotCache cacheId="2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1" i="1" l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R9" i="6"/>
  <c r="K9" i="6"/>
  <c r="D9" i="6"/>
</calcChain>
</file>

<file path=xl/sharedStrings.xml><?xml version="1.0" encoding="utf-8"?>
<sst xmlns="http://schemas.openxmlformats.org/spreadsheetml/2006/main" count="287" uniqueCount="42">
  <si>
    <t>Date</t>
  </si>
  <si>
    <t>Product</t>
  </si>
  <si>
    <t>Region</t>
  </si>
  <si>
    <t>Quantity</t>
  </si>
  <si>
    <t>Unit Price</t>
  </si>
  <si>
    <t>Laptop</t>
  </si>
  <si>
    <t>North</t>
  </si>
  <si>
    <t>South</t>
  </si>
  <si>
    <t>Headphones</t>
  </si>
  <si>
    <t>Mouse</t>
  </si>
  <si>
    <t>Monitor</t>
  </si>
  <si>
    <t>Mobile</t>
  </si>
  <si>
    <t>Smartwatch</t>
  </si>
  <si>
    <t>West</t>
  </si>
  <si>
    <t>Keyboard</t>
  </si>
  <si>
    <t>East</t>
  </si>
  <si>
    <t>Row Labels</t>
  </si>
  <si>
    <t>Grand Total</t>
  </si>
  <si>
    <t>Sum of Quantity</t>
  </si>
  <si>
    <t>Sum of Unit Price</t>
  </si>
  <si>
    <t>Sum of TOTAL SALES</t>
  </si>
  <si>
    <t>SALES BY REGION</t>
  </si>
  <si>
    <t>TOTAL SALES BY PRODUCT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</si>
  <si>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</si>
  <si>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</si>
  <si>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</si>
  <si>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</si>
  <si>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</si>
  <si>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</si>
  <si>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</si>
  <si>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</si>
  <si>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</si>
  <si>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</si>
  <si>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</si>
  <si>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</si>
  <si>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</si>
  <si>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</si>
  <si>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Sum of Total Sales</t>
  </si>
  <si>
    <t>MONTHLY SALES TRENDS</t>
  </si>
  <si>
    <t>TOTAL SALES</t>
  </si>
  <si>
    <t>TOTAL QUANTITY SOLD</t>
  </si>
  <si>
    <t>AVG 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</si>
</sst>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20"/>
      <color theme="3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5E4E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 applyNumberFormat="1"/>
    <xf numFmtId="0" fontId="1" fillId="0" borderId="0" xfId="0" applyFont="1" applyAlignme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3" fillId="2" borderId="0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colors>
    <mruColors>
      <color rgb="FFF5E4E3"/>
      <color rgb="FFE8F4F8"/>
      <color rgb="FFFBEFC5"/>
      <color rgb="FFFAEAB0"/>
      <color rgb="FFF9E6BF"/>
      <color rgb="FFFFFFFF"/>
      <color rgb="FF9149C7"/>
      <color rgb="FFAE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242504486493755"/>
          <c:y val="0.18637992831541217"/>
          <c:w val="0.81490977324939062"/>
          <c:h val="0.5624843131167743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  <c:pt idx="6">
                  <c:v>Smartwatch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127</c:v>
                </c:pt>
                <c:pt idx="1">
                  <c:v>132</c:v>
                </c:pt>
                <c:pt idx="2">
                  <c:v>253</c:v>
                </c:pt>
                <c:pt idx="3">
                  <c:v>242</c:v>
                </c:pt>
                <c:pt idx="4">
                  <c:v>190</c:v>
                </c:pt>
                <c:pt idx="5">
                  <c:v>208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4-4307-B11D-871361BE40D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  <c:pt idx="6">
                  <c:v>Smartwatch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7"/>
                <c:pt idx="0">
                  <c:v>33000</c:v>
                </c:pt>
                <c:pt idx="1">
                  <c:v>37000</c:v>
                </c:pt>
                <c:pt idx="2">
                  <c:v>61000</c:v>
                </c:pt>
                <c:pt idx="3">
                  <c:v>54500</c:v>
                </c:pt>
                <c:pt idx="4">
                  <c:v>51000</c:v>
                </c:pt>
                <c:pt idx="5">
                  <c:v>47500</c:v>
                </c:pt>
                <c:pt idx="6">
                  <c:v>40500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4-4307-B11D-871361BE40DD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  <c:pt idx="6">
                  <c:v>Smartwatch</c:v>
                </c:pt>
              </c:strCache>
            </c:strRef>
          </c:cat>
          <c:val>
            <c:numRef>
              <c:f>Sheet1!$D$4:$D$11</c:f>
              <c:numCache>
                <c:formatCode>General</c:formatCode>
                <c:ptCount val="7"/>
                <c:pt idx="0">
                  <c:v>4191000</c:v>
                </c:pt>
                <c:pt idx="1">
                  <c:v>4884000</c:v>
                </c:pt>
                <c:pt idx="2">
                  <c:v>15433000</c:v>
                </c:pt>
                <c:pt idx="3">
                  <c:v>13189000</c:v>
                </c:pt>
                <c:pt idx="4">
                  <c:v>9690000</c:v>
                </c:pt>
                <c:pt idx="5">
                  <c:v>9880000</c:v>
                </c:pt>
                <c:pt idx="6">
                  <c:v>7249500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A4-4307-B11D-871361BE4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0144559"/>
        <c:axId val="490140239"/>
        <c:axId val="0"/>
      </c:bar3DChart>
      <c:catAx>
        <c:axId val="49014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40239"/>
        <c:crosses val="autoZero"/>
        <c:auto val="1"/>
        <c:lblAlgn val="ctr"/>
        <c:lblOffset val="100"/>
        <c:noMultiLvlLbl val="0"/>
      </c:catAx>
      <c:valAx>
        <c:axId val="4901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4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C3-4DB6-AECB-8E31295543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C3-4DB6-AECB-8E31295543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C3-4DB6-AECB-8E31295543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C3-4DB6-AECB-8E31295543F9}"/>
              </c:ext>
            </c:extLst>
          </c:dPt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21560000</c:v>
                </c:pt>
                <c:pt idx="1">
                  <c:v>64190000</c:v>
                </c:pt>
                <c:pt idx="2">
                  <c:v>18078000</c:v>
                </c:pt>
                <c:pt idx="3">
                  <c:v>14840000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4-44F7-9173-CFA7736B6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356000</c:v>
                </c:pt>
                <c:pt idx="1">
                  <c:v>266000</c:v>
                </c:pt>
                <c:pt idx="2">
                  <c:v>247500</c:v>
                </c:pt>
                <c:pt idx="3">
                  <c:v>342500</c:v>
                </c:pt>
                <c:pt idx="4">
                  <c:v>338000</c:v>
                </c:pt>
                <c:pt idx="5">
                  <c:v>206000</c:v>
                </c:pt>
                <c:pt idx="6">
                  <c:v>452500</c:v>
                </c:pt>
                <c:pt idx="7">
                  <c:v>368500</c:v>
                </c:pt>
                <c:pt idx="8">
                  <c:v>90000</c:v>
                </c:pt>
                <c:pt idx="9">
                  <c:v>323500</c:v>
                </c:pt>
                <c:pt idx="10">
                  <c:v>308000</c:v>
                </c:pt>
                <c:pt idx="11">
                  <c:v>291500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6-49CB-83C3-F07284992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64943"/>
        <c:axId val="427865423"/>
      </c:lineChart>
      <c:catAx>
        <c:axId val="42786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65423"/>
        <c:crosses val="autoZero"/>
        <c:auto val="1"/>
        <c:lblAlgn val="ctr"/>
        <c:lblOffset val="100"/>
        <c:noMultiLvlLbl val="0"/>
      </c:catAx>
      <c:valAx>
        <c:axId val="4278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[Sales_Data_Analysis.xlsx]Sheet1!PivotTable1</c:name>
    <c:fmtId val="2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242504486493755"/>
          <c:y val="0.18637992831541217"/>
          <c:w val="0.81490977324939062"/>
          <c:h val="0.5624843131167743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  <c:pt idx="6">
                  <c:v>Smartwatch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127</c:v>
                </c:pt>
                <c:pt idx="1">
                  <c:v>132</c:v>
                </c:pt>
                <c:pt idx="2">
                  <c:v>253</c:v>
                </c:pt>
                <c:pt idx="3">
                  <c:v>242</c:v>
                </c:pt>
                <c:pt idx="4">
                  <c:v>190</c:v>
                </c:pt>
                <c:pt idx="5">
                  <c:v>208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5-4E16-8378-68BD1C453B8A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  <c:pt idx="6">
                  <c:v>Smartwatch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7"/>
                <c:pt idx="0">
                  <c:v>33000</c:v>
                </c:pt>
                <c:pt idx="1">
                  <c:v>37000</c:v>
                </c:pt>
                <c:pt idx="2">
                  <c:v>61000</c:v>
                </c:pt>
                <c:pt idx="3">
                  <c:v>54500</c:v>
                </c:pt>
                <c:pt idx="4">
                  <c:v>51000</c:v>
                </c:pt>
                <c:pt idx="5">
                  <c:v>47500</c:v>
                </c:pt>
                <c:pt idx="6">
                  <c:v>40500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5-4E16-8378-68BD1C453B8A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  <c:pt idx="6">
                  <c:v>Smartwatch</c:v>
                </c:pt>
              </c:strCache>
            </c:strRef>
          </c:cat>
          <c:val>
            <c:numRef>
              <c:f>Sheet1!$D$4:$D$11</c:f>
              <c:numCache>
                <c:formatCode>General</c:formatCode>
                <c:ptCount val="7"/>
                <c:pt idx="0">
                  <c:v>4191000</c:v>
                </c:pt>
                <c:pt idx="1">
                  <c:v>4884000</c:v>
                </c:pt>
                <c:pt idx="2">
                  <c:v>15433000</c:v>
                </c:pt>
                <c:pt idx="3">
                  <c:v>13189000</c:v>
                </c:pt>
                <c:pt idx="4">
                  <c:v>9690000</c:v>
                </c:pt>
                <c:pt idx="5">
                  <c:v>9880000</c:v>
                </c:pt>
                <c:pt idx="6">
                  <c:v>7249500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C5-4E16-8378-68BD1C453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0144559"/>
        <c:axId val="490140239"/>
        <c:axId val="0"/>
      </c:bar3DChart>
      <c:catAx>
        <c:axId val="49014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40239"/>
        <c:crosses val="autoZero"/>
        <c:auto val="1"/>
        <c:lblAlgn val="ctr"/>
        <c:lblOffset val="100"/>
        <c:noMultiLvlLbl val="0"/>
      </c:catAx>
      <c:valAx>
        <c:axId val="4901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4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8F4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75000"/>
                  </a:schemeClr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995-423C-BFC6-C42BCE53B7E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995-423C-BFC6-C42BCE53B7E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995-423C-BFC6-C42BCE53B7E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995-423C-BFC6-C42BCE53B7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21560000</c:v>
                </c:pt>
                <c:pt idx="1">
                  <c:v>64190000</c:v>
                </c:pt>
                <c:pt idx="2">
                  <c:v>18078000</c:v>
                </c:pt>
                <c:pt idx="3">
                  <c:v>14840000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95-423C-BFC6-C42BCE53B7E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8F4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[Sales_Data_Analysis.xlsx]Sheet4!PivotTable4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75000"/>
                  </a:schemeClr>
                </a:solidFill>
              </a:rPr>
              <a:t>MONTHLY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356000</c:v>
                </c:pt>
                <c:pt idx="1">
                  <c:v>266000</c:v>
                </c:pt>
                <c:pt idx="2">
                  <c:v>247500</c:v>
                </c:pt>
                <c:pt idx="3">
                  <c:v>342500</c:v>
                </c:pt>
                <c:pt idx="4">
                  <c:v>338000</c:v>
                </c:pt>
                <c:pt idx="5">
                  <c:v>206000</c:v>
                </c:pt>
                <c:pt idx="6">
                  <c:v>452500</c:v>
                </c:pt>
                <c:pt idx="7">
                  <c:v>368500</c:v>
                </c:pt>
                <c:pt idx="8">
                  <c:v>90000</c:v>
                </c:pt>
                <c:pt idx="9">
                  <c:v>323500</c:v>
                </c:pt>
                <c:pt idx="10">
                  <c:v>308000</c:v>
                </c:pt>
                <c:pt idx="11">
                  <c:v>291500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A-45B8-90AB-369DE1075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64943"/>
        <c:axId val="427865423"/>
      </c:lineChart>
      <c:catAx>
        <c:axId val="42786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65423"/>
        <c:crosses val="autoZero"/>
        <c:auto val="1"/>
        <c:lblAlgn val="ctr"/>
        <c:lblOffset val="100"/>
        <c:noMultiLvlLbl val="0"/>
      </c:catAx>
      <c:valAx>
        <c:axId val="4278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8F4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9525</xdr:rowOff>
    </xdr:from>
    <xdr:to>
      <xdr:col>12</xdr:col>
      <xdr:colOff>9525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B72C7-32BA-BC85-8A46-5775136B5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0.23385</cdr:x>
      <cdr:y>0.0681</cdr:y>
    </cdr:from>
    <cdr:to>
      <cdr:x>0.73942</cdr:x>
      <cdr:y>0.17563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25DBF8-FCCA-A358-33D1-FCDD69D0603C}"/>
            </a:ext>
          </a:extLst>
        </cdr:cNvPr>
        <cdr:cNvSpPr txBox="1"/>
      </cdr:nvSpPr>
      <cdr:spPr>
        <a:xfrm xmlns:a="http://schemas.openxmlformats.org/drawingml/2006/main">
          <a:off x="1000125" y="180975"/>
          <a:ext cx="216217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0.2294</cdr:x>
      <cdr:y>0.04659</cdr:y>
    </cdr:from>
    <cdr:to>
      <cdr:x>0.78174</cdr:x>
      <cdr:y>0.16487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6248A8A-5645-31DC-FE57-34E604D99809}"/>
            </a:ext>
          </a:extLst>
        </cdr:cNvPr>
        <cdr:cNvSpPr txBox="1"/>
      </cdr:nvSpPr>
      <cdr:spPr>
        <a:xfrm xmlns:a="http://schemas.openxmlformats.org/drawingml/2006/main">
          <a:off x="981074" y="123825"/>
          <a:ext cx="2362201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u="none">
              <a:solidFill>
                <a:schemeClr val="tx1"/>
              </a:solidFill>
            </a:rPr>
            <a:t>TOTAL SALES BY PRODUCT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180976</xdr:rowOff>
    </xdr:from>
    <xdr:to>
      <xdr:col>9</xdr:col>
      <xdr:colOff>600075</xdr:colOff>
      <xdr:row>15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C3056-875D-AC36-0194-FA3C296C2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4763</xdr:colOff>
      <xdr:row>2</xdr:row>
      <xdr:rowOff>4762</xdr:rowOff>
    </xdr:from>
    <xdr:to>
      <xdr:col>10</xdr:col>
      <xdr:colOff>19050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122ED-16C2-0211-335A-5E6CE5042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11206</xdr:colOff>
      <xdr:row>11</xdr:row>
      <xdr:rowOff>11206</xdr:rowOff>
    </xdr:from>
    <xdr:to>
      <xdr:col>8</xdr:col>
      <xdr:colOff>0</xdr:colOff>
      <xdr:row>24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BB0F1-E03A-4E59-B8BB-0EF4B3994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593911</xdr:colOff>
      <xdr:row>11</xdr:row>
      <xdr:rowOff>11205</xdr:rowOff>
    </xdr:from>
    <xdr:to>
      <xdr:col>21</xdr:col>
      <xdr:colOff>582704</xdr:colOff>
      <xdr:row>24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01FD40-78F5-41C9-BD8B-321C8B6B2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600315</xdr:colOff>
      <xdr:row>11</xdr:row>
      <xdr:rowOff>11207</xdr:rowOff>
    </xdr:from>
    <xdr:to>
      <xdr:col>15</xdr:col>
      <xdr:colOff>0</xdr:colOff>
      <xdr:row>24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001F59-29BA-46CE-B930-62315A689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11206</xdr:colOff>
      <xdr:row>1</xdr:row>
      <xdr:rowOff>11206</xdr:rowOff>
    </xdr:from>
    <xdr:to>
      <xdr:col>21</xdr:col>
      <xdr:colOff>593911</xdr:colOff>
      <xdr:row>4</xdr:row>
      <xdr:rowOff>179294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71D3BFF-A34B-8A49-5580-3D799F4CDFE1}"/>
            </a:ext>
          </a:extLst>
        </xdr:cNvPr>
        <xdr:cNvSpPr txBox="1"/>
      </xdr:nvSpPr>
      <xdr:spPr>
        <a:xfrm>
          <a:off x="616324" y="212912"/>
          <a:ext cx="12685058" cy="739588"/>
        </a:xfrm>
        <a:prstGeom prst="rect">
          <a:avLst/>
        </a:prstGeom>
        <a:solidFill>
          <a:srgbClr val="FAEAB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>
              <a:solidFill>
                <a:schemeClr val="tx2">
                  <a:lumMod val="75000"/>
                </a:schemeClr>
              </a:solidFill>
              <a:latin typeface="Britannic Bold" panose="020B0903060703020204" pitchFamily="34" charset="0"/>
            </a:rPr>
            <a:t>SALES</a:t>
          </a:r>
          <a:r>
            <a:rPr lang="en-US" sz="2800" b="1" baseline="0">
              <a:solidFill>
                <a:schemeClr val="tx2">
                  <a:lumMod val="75000"/>
                </a:schemeClr>
              </a:solidFill>
              <a:latin typeface="Britannic Bold" panose="020B0903060703020204" pitchFamily="34" charset="0"/>
            </a:rPr>
            <a:t> PERFORMANCE DASHBOARD</a:t>
          </a:r>
        </a:p>
        <a:p>
          <a:pPr algn="ctr"/>
          <a:r>
            <a:rPr lang="en-US" sz="1200" b="1" baseline="0">
              <a:solidFill>
                <a:schemeClr val="accent1">
                  <a:lumMod val="75000"/>
                </a:schemeClr>
              </a:solidFill>
            </a:rPr>
            <a:t>SUMMARY OF KEY METRICS-2025</a:t>
          </a:r>
        </a:p>
        <a:p>
          <a:pPr algn="ctr"/>
          <a:endParaRPr lang="en-US" sz="2000" baseline="0"/>
        </a:p>
        <a:p>
          <a:pPr algn="ctr"/>
          <a:endParaRPr lang="en-US" sz="24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0.23385</cdr:x>
      <cdr:y>0.0681</cdr:y>
    </cdr:from>
    <cdr:to>
      <cdr:x>0.73942</cdr:x>
      <cdr:y>0.17563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25DBF8-FCCA-A358-33D1-FCDD69D0603C}"/>
            </a:ext>
          </a:extLst>
        </cdr:cNvPr>
        <cdr:cNvSpPr txBox="1"/>
      </cdr:nvSpPr>
      <cdr:spPr>
        <a:xfrm xmlns:a="http://schemas.openxmlformats.org/drawingml/2006/main">
          <a:off x="1000125" y="180975"/>
          <a:ext cx="216217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0.19312</cdr:x>
      <cdr:y>0.02954</cdr:y>
    </cdr:from>
    <cdr:to>
      <cdr:x>0.82275</cdr:x>
      <cdr:y>0.173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6248A8A-5645-31DC-FE57-34E604D99809}"/>
            </a:ext>
          </a:extLst>
        </cdr:cNvPr>
        <cdr:cNvSpPr txBox="1"/>
      </cdr:nvSpPr>
      <cdr:spPr>
        <a:xfrm xmlns:a="http://schemas.openxmlformats.org/drawingml/2006/main">
          <a:off x="818030" y="78441"/>
          <a:ext cx="2667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u="none">
              <a:solidFill>
                <a:schemeClr val="tx2">
                  <a:lumMod val="75000"/>
                </a:schemeClr>
              </a:solidFill>
            </a:rPr>
            <a:t>TOTAL SALES BY PRODUCT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" refreshedDate="45984.650478356481" createdVersion="8" refreshedVersion="8" minRefreshableVersion="3" recordCount="120" xr:uid="{CAB402EC-0E58-44BF-AB29-AD017DC675D0}">
  <cacheSource type="worksheet">
    <worksheetSource ref="A1:E121" sheet="SalesData"/>
  </cacheSource>
  <cacheFields count="6">
    <cacheField name="Date" numFmtId="164">
      <sharedItems containsSemiMixedTypes="0" containsNonDate="0" containsDate="1" containsString="0" minDate="2024-01-01T00:00:00" maxDate="2024-12-26T00:00:00"/>
    </cacheField>
    <cacheField name="Product" numFmtId="0">
      <sharedItems count="7">
        <s v="Laptop"/>
        <s v="Headphones"/>
        <s v="Mouse"/>
        <s v="Monitor"/>
        <s v="Mobile"/>
        <s v="Smartwatch"/>
        <s v="Keyboard"/>
      </sharedItems>
    </cacheField>
    <cacheField name="Region" numFmtId="0">
      <sharedItems count="4">
        <s v="North"/>
        <s v="South"/>
        <s v="West"/>
        <s v="East"/>
      </sharedItems>
    </cacheField>
    <cacheField name="Quantity" numFmtId="0">
      <sharedItems containsSemiMixedTypes="0" containsString="0" containsNumber="1" containsInteger="1" minValue="1" maxValue="20"/>
    </cacheField>
    <cacheField name="Unit Price" numFmtId="0">
      <sharedItems containsSemiMixedTypes="0" containsString="0" containsNumber="1" containsInteger="1" minValue="1500" maxValue="4000"/>
    </cacheField>
    <cacheField name="TOTAL SALES" numFmtId="0" formula="Quantity *'Unit Price'" databaseField="0"/>
  </cacheFields>
  <extLst>
    <ext xmlns:x14="http://schemas.microsoft.com/office/spreadsheetml/2009/9/main" uri="{725AE2AE-9491-48be-B2B4-4EB974FC3084}">
      <x14:pivotCacheDefinition pivotCacheId="107045860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" refreshedDate="45984.653613773145" createdVersion="8" refreshedVersion="8" minRefreshableVersion="3" recordCount="120" xr:uid="{5E9182A8-9133-4372-81F9-5D93839EF52E}">
  <cacheSource type="worksheet">
    <worksheetSource ref="A1:G121" sheet="SalesData"/>
  </cacheSource>
  <cacheFields count="7">
    <cacheField name="Date" numFmtId="164">
      <sharedItems containsSemiMixedTypes="0" containsNonDate="0" containsDate="1" containsString="0" minDate="2024-01-01T00:00:00" maxDate="2024-12-26T00:00:00"/>
    </cacheField>
    <cacheField name="Product" numFmtId="0">
      <sharedItems count="7">
        <s v="Laptop"/>
        <s v="Headphones"/>
        <s v="Mouse"/>
        <s v="Monitor"/>
        <s v="Mobile"/>
        <s v="Smartwatch"/>
        <s v="Keyboard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20"/>
    </cacheField>
    <cacheField name="Unit Price" numFmtId="0">
      <sharedItems containsSemiMixedTypes="0" containsString="0" containsNumber="1" containsInteger="1" minValue="1500" maxValue="4000"/>
    </cacheField>
    <cacheField name="Month" numFmtId="0">
      <sharedItems count="12">
        <s v="Dec"/>
        <s v="Jun"/>
        <s v="Jul"/>
        <s v="May"/>
        <s v="Nov"/>
        <s v="Aug"/>
        <s v="Mar"/>
        <s v="Oct"/>
        <s v="Sep"/>
        <s v="Jan"/>
        <s v="Feb"/>
        <s v="Apr"/>
      </sharedItems>
    </cacheField>
    <cacheField name="Total Sales" numFmtId="0">
      <sharedItems containsSemiMixedTypes="0" containsString="0" containsNumber="1" containsInteger="1" minValue="1500" maxValue="6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d v="2024-12-25T00:00:00"/>
    <x v="0"/>
    <x v="0"/>
    <n v="10"/>
    <n v="2000"/>
  </r>
  <r>
    <d v="2024-06-08T00:00:00"/>
    <x v="0"/>
    <x v="1"/>
    <n v="2"/>
    <n v="2500"/>
  </r>
  <r>
    <d v="2024-07-06T00:00:00"/>
    <x v="1"/>
    <x v="0"/>
    <n v="12"/>
    <n v="2500"/>
  </r>
  <r>
    <d v="2024-12-02T00:00:00"/>
    <x v="2"/>
    <x v="0"/>
    <n v="3"/>
    <n v="2000"/>
  </r>
  <r>
    <d v="2024-12-12T00:00:00"/>
    <x v="3"/>
    <x v="0"/>
    <n v="13"/>
    <n v="3000"/>
  </r>
  <r>
    <d v="2024-05-19T00:00:00"/>
    <x v="4"/>
    <x v="1"/>
    <n v="11"/>
    <n v="2500"/>
  </r>
  <r>
    <d v="2024-11-09T00:00:00"/>
    <x v="4"/>
    <x v="0"/>
    <n v="11"/>
    <n v="1500"/>
  </r>
  <r>
    <d v="2024-08-10T00:00:00"/>
    <x v="5"/>
    <x v="2"/>
    <n v="16"/>
    <n v="3500"/>
  </r>
  <r>
    <d v="2024-06-28T00:00:00"/>
    <x v="4"/>
    <x v="0"/>
    <n v="13"/>
    <n v="3500"/>
  </r>
  <r>
    <d v="2024-03-13T00:00:00"/>
    <x v="0"/>
    <x v="1"/>
    <n v="13"/>
    <n v="2000"/>
  </r>
  <r>
    <d v="2024-03-29T00:00:00"/>
    <x v="1"/>
    <x v="0"/>
    <n v="19"/>
    <n v="3000"/>
  </r>
  <r>
    <d v="2024-10-28T00:00:00"/>
    <x v="2"/>
    <x v="2"/>
    <n v="18"/>
    <n v="2000"/>
  </r>
  <r>
    <d v="2024-09-25T00:00:00"/>
    <x v="0"/>
    <x v="0"/>
    <n v="17"/>
    <n v="2000"/>
  </r>
  <r>
    <d v="2024-11-21T00:00:00"/>
    <x v="4"/>
    <x v="2"/>
    <n v="20"/>
    <n v="1500"/>
  </r>
  <r>
    <d v="2024-01-24T00:00:00"/>
    <x v="2"/>
    <x v="0"/>
    <n v="18"/>
    <n v="3000"/>
  </r>
  <r>
    <d v="2024-02-01T00:00:00"/>
    <x v="5"/>
    <x v="2"/>
    <n v="18"/>
    <n v="3000"/>
  </r>
  <r>
    <d v="2024-04-13T00:00:00"/>
    <x v="6"/>
    <x v="3"/>
    <n v="17"/>
    <n v="4000"/>
  </r>
  <r>
    <d v="2024-06-28T00:00:00"/>
    <x v="5"/>
    <x v="0"/>
    <n v="17"/>
    <n v="2500"/>
  </r>
  <r>
    <d v="2024-12-22T00:00:00"/>
    <x v="4"/>
    <x v="0"/>
    <n v="9"/>
    <n v="2500"/>
  </r>
  <r>
    <d v="2024-06-29T00:00:00"/>
    <x v="4"/>
    <x v="0"/>
    <n v="9"/>
    <n v="2000"/>
  </r>
  <r>
    <d v="2024-04-18T00:00:00"/>
    <x v="1"/>
    <x v="0"/>
    <n v="2"/>
    <n v="3500"/>
  </r>
  <r>
    <d v="2024-10-31T00:00:00"/>
    <x v="1"/>
    <x v="3"/>
    <n v="17"/>
    <n v="4000"/>
  </r>
  <r>
    <d v="2024-08-17T00:00:00"/>
    <x v="1"/>
    <x v="0"/>
    <n v="15"/>
    <n v="3000"/>
  </r>
  <r>
    <d v="2024-03-01T00:00:00"/>
    <x v="0"/>
    <x v="1"/>
    <n v="19"/>
    <n v="3000"/>
  </r>
  <r>
    <d v="2024-02-15T00:00:00"/>
    <x v="2"/>
    <x v="1"/>
    <n v="15"/>
    <n v="4000"/>
  </r>
  <r>
    <d v="2024-01-09T00:00:00"/>
    <x v="5"/>
    <x v="0"/>
    <n v="17"/>
    <n v="2000"/>
  </r>
  <r>
    <d v="2024-05-30T00:00:00"/>
    <x v="0"/>
    <x v="0"/>
    <n v="15"/>
    <n v="2000"/>
  </r>
  <r>
    <d v="2024-12-06T00:00:00"/>
    <x v="0"/>
    <x v="3"/>
    <n v="6"/>
    <n v="3500"/>
  </r>
  <r>
    <d v="2024-02-27T00:00:00"/>
    <x v="1"/>
    <x v="1"/>
    <n v="19"/>
    <n v="2500"/>
  </r>
  <r>
    <d v="2024-04-18T00:00:00"/>
    <x v="4"/>
    <x v="0"/>
    <n v="7"/>
    <n v="3500"/>
  </r>
  <r>
    <d v="2024-11-03T00:00:00"/>
    <x v="2"/>
    <x v="1"/>
    <n v="5"/>
    <n v="2500"/>
  </r>
  <r>
    <d v="2024-08-12T00:00:00"/>
    <x v="0"/>
    <x v="2"/>
    <n v="18"/>
    <n v="1500"/>
  </r>
  <r>
    <d v="2024-11-12T00:00:00"/>
    <x v="5"/>
    <x v="3"/>
    <n v="17"/>
    <n v="4000"/>
  </r>
  <r>
    <d v="2024-04-02T00:00:00"/>
    <x v="0"/>
    <x v="2"/>
    <n v="9"/>
    <n v="2500"/>
  </r>
  <r>
    <d v="2024-05-02T00:00:00"/>
    <x v="3"/>
    <x v="0"/>
    <n v="2"/>
    <n v="3000"/>
  </r>
  <r>
    <d v="2024-08-03T00:00:00"/>
    <x v="6"/>
    <x v="0"/>
    <n v="8"/>
    <n v="3500"/>
  </r>
  <r>
    <d v="2024-09-08T00:00:00"/>
    <x v="3"/>
    <x v="3"/>
    <n v="2"/>
    <n v="2000"/>
  </r>
  <r>
    <d v="2024-01-17T00:00:00"/>
    <x v="0"/>
    <x v="3"/>
    <n v="12"/>
    <n v="4000"/>
  </r>
  <r>
    <d v="2024-08-06T00:00:00"/>
    <x v="4"/>
    <x v="1"/>
    <n v="11"/>
    <n v="3000"/>
  </r>
  <r>
    <d v="2024-01-28T00:00:00"/>
    <x v="0"/>
    <x v="2"/>
    <n v="13"/>
    <n v="3500"/>
  </r>
  <r>
    <d v="2024-02-21T00:00:00"/>
    <x v="4"/>
    <x v="3"/>
    <n v="3"/>
    <n v="3000"/>
  </r>
  <r>
    <d v="2024-05-30T00:00:00"/>
    <x v="6"/>
    <x v="3"/>
    <n v="9"/>
    <n v="2000"/>
  </r>
  <r>
    <d v="2024-07-03T00:00:00"/>
    <x v="5"/>
    <x v="3"/>
    <n v="19"/>
    <n v="1500"/>
  </r>
  <r>
    <d v="2024-11-16T00:00:00"/>
    <x v="5"/>
    <x v="3"/>
    <n v="2"/>
    <n v="4000"/>
  </r>
  <r>
    <d v="2024-07-12T00:00:00"/>
    <x v="2"/>
    <x v="3"/>
    <n v="14"/>
    <n v="4000"/>
  </r>
  <r>
    <d v="2024-11-02T00:00:00"/>
    <x v="1"/>
    <x v="0"/>
    <n v="12"/>
    <n v="2500"/>
  </r>
  <r>
    <d v="2024-11-13T00:00:00"/>
    <x v="3"/>
    <x v="0"/>
    <n v="7"/>
    <n v="4000"/>
  </r>
  <r>
    <d v="2024-04-11T00:00:00"/>
    <x v="3"/>
    <x v="2"/>
    <n v="14"/>
    <n v="4000"/>
  </r>
  <r>
    <d v="2024-06-28T00:00:00"/>
    <x v="1"/>
    <x v="3"/>
    <n v="4"/>
    <n v="2500"/>
  </r>
  <r>
    <d v="2024-09-17T00:00:00"/>
    <x v="6"/>
    <x v="0"/>
    <n v="4"/>
    <n v="4000"/>
  </r>
  <r>
    <d v="2024-02-02T00:00:00"/>
    <x v="4"/>
    <x v="3"/>
    <n v="20"/>
    <n v="2500"/>
  </r>
  <r>
    <d v="2024-05-03T00:00:00"/>
    <x v="6"/>
    <x v="0"/>
    <n v="11"/>
    <n v="1500"/>
  </r>
  <r>
    <d v="2024-04-21T00:00:00"/>
    <x v="5"/>
    <x v="2"/>
    <n v="15"/>
    <n v="3500"/>
  </r>
  <r>
    <d v="2024-06-15T00:00:00"/>
    <x v="3"/>
    <x v="0"/>
    <n v="13"/>
    <n v="2000"/>
  </r>
  <r>
    <d v="2024-05-31T00:00:00"/>
    <x v="4"/>
    <x v="3"/>
    <n v="5"/>
    <n v="2000"/>
  </r>
  <r>
    <d v="2024-06-08T00:00:00"/>
    <x v="6"/>
    <x v="2"/>
    <n v="19"/>
    <n v="1500"/>
  </r>
  <r>
    <d v="2024-01-03T00:00:00"/>
    <x v="6"/>
    <x v="1"/>
    <n v="7"/>
    <n v="3000"/>
  </r>
  <r>
    <d v="2024-04-04T00:00:00"/>
    <x v="5"/>
    <x v="2"/>
    <n v="17"/>
    <n v="3000"/>
  </r>
  <r>
    <d v="2024-12-15T00:00:00"/>
    <x v="4"/>
    <x v="2"/>
    <n v="10"/>
    <n v="3000"/>
  </r>
  <r>
    <d v="2024-07-17T00:00:00"/>
    <x v="2"/>
    <x v="3"/>
    <n v="18"/>
    <n v="1500"/>
  </r>
  <r>
    <d v="2024-07-25T00:00:00"/>
    <x v="6"/>
    <x v="2"/>
    <n v="12"/>
    <n v="3000"/>
  </r>
  <r>
    <d v="2024-05-13T00:00:00"/>
    <x v="3"/>
    <x v="1"/>
    <n v="7"/>
    <n v="3000"/>
  </r>
  <r>
    <d v="2024-03-06T00:00:00"/>
    <x v="0"/>
    <x v="2"/>
    <n v="2"/>
    <n v="2000"/>
  </r>
  <r>
    <d v="2024-01-01T00:00:00"/>
    <x v="5"/>
    <x v="2"/>
    <n v="4"/>
    <n v="4000"/>
  </r>
  <r>
    <d v="2024-01-21T00:00:00"/>
    <x v="1"/>
    <x v="1"/>
    <n v="5"/>
    <n v="2000"/>
  </r>
  <r>
    <d v="2024-06-29T00:00:00"/>
    <x v="4"/>
    <x v="1"/>
    <n v="6"/>
    <n v="2000"/>
  </r>
  <r>
    <d v="2024-11-07T00:00:00"/>
    <x v="0"/>
    <x v="1"/>
    <n v="2"/>
    <n v="1500"/>
  </r>
  <r>
    <d v="2024-04-06T00:00:00"/>
    <x v="0"/>
    <x v="1"/>
    <n v="1"/>
    <n v="1500"/>
  </r>
  <r>
    <d v="2024-03-06T00:00:00"/>
    <x v="1"/>
    <x v="2"/>
    <n v="5"/>
    <n v="1500"/>
  </r>
  <r>
    <d v="2024-10-24T00:00:00"/>
    <x v="4"/>
    <x v="3"/>
    <n v="8"/>
    <n v="4000"/>
  </r>
  <r>
    <d v="2024-01-20T00:00:00"/>
    <x v="2"/>
    <x v="0"/>
    <n v="9"/>
    <n v="3500"/>
  </r>
  <r>
    <d v="2024-03-25T00:00:00"/>
    <x v="4"/>
    <x v="1"/>
    <n v="8"/>
    <n v="1500"/>
  </r>
  <r>
    <d v="2024-11-06T00:00:00"/>
    <x v="4"/>
    <x v="0"/>
    <n v="12"/>
    <n v="2500"/>
  </r>
  <r>
    <d v="2024-07-30T00:00:00"/>
    <x v="4"/>
    <x v="0"/>
    <n v="18"/>
    <n v="2500"/>
  </r>
  <r>
    <d v="2024-05-20T00:00:00"/>
    <x v="5"/>
    <x v="1"/>
    <n v="7"/>
    <n v="1500"/>
  </r>
  <r>
    <d v="2024-07-10T00:00:00"/>
    <x v="3"/>
    <x v="0"/>
    <n v="15"/>
    <n v="3500"/>
  </r>
  <r>
    <d v="2024-08-24T00:00:00"/>
    <x v="6"/>
    <x v="1"/>
    <n v="12"/>
    <n v="3000"/>
  </r>
  <r>
    <d v="2024-12-11T00:00:00"/>
    <x v="2"/>
    <x v="0"/>
    <n v="7"/>
    <n v="3000"/>
  </r>
  <r>
    <d v="2024-08-09T00:00:00"/>
    <x v="5"/>
    <x v="1"/>
    <n v="16"/>
    <n v="2500"/>
  </r>
  <r>
    <d v="2024-05-30T00:00:00"/>
    <x v="0"/>
    <x v="2"/>
    <n v="12"/>
    <n v="2000"/>
  </r>
  <r>
    <d v="2024-10-20T00:00:00"/>
    <x v="2"/>
    <x v="0"/>
    <n v="11"/>
    <n v="2000"/>
  </r>
  <r>
    <d v="2024-04-10T00:00:00"/>
    <x v="3"/>
    <x v="1"/>
    <n v="16"/>
    <n v="2000"/>
  </r>
  <r>
    <d v="2024-12-16T00:00:00"/>
    <x v="2"/>
    <x v="0"/>
    <n v="6"/>
    <n v="3000"/>
  </r>
  <r>
    <d v="2024-05-10T00:00:00"/>
    <x v="2"/>
    <x v="0"/>
    <n v="17"/>
    <n v="3000"/>
  </r>
  <r>
    <d v="2024-09-04T00:00:00"/>
    <x v="3"/>
    <x v="1"/>
    <n v="9"/>
    <n v="4000"/>
  </r>
  <r>
    <d v="2024-01-23T00:00:00"/>
    <x v="1"/>
    <x v="3"/>
    <n v="12"/>
    <n v="4000"/>
  </r>
  <r>
    <d v="2024-06-30T00:00:00"/>
    <x v="0"/>
    <x v="1"/>
    <n v="8"/>
    <n v="2000"/>
  </r>
  <r>
    <d v="2024-04-06T00:00:00"/>
    <x v="1"/>
    <x v="0"/>
    <n v="5"/>
    <n v="2000"/>
  </r>
  <r>
    <d v="2024-02-20T00:00:00"/>
    <x v="4"/>
    <x v="0"/>
    <n v="7"/>
    <n v="2000"/>
  </r>
  <r>
    <d v="2024-08-19T00:00:00"/>
    <x v="3"/>
    <x v="0"/>
    <n v="14"/>
    <n v="3500"/>
  </r>
  <r>
    <d v="2024-12-25T00:00:00"/>
    <x v="0"/>
    <x v="3"/>
    <n v="18"/>
    <n v="2000"/>
  </r>
  <r>
    <d v="2024-05-29T00:00:00"/>
    <x v="3"/>
    <x v="0"/>
    <n v="18"/>
    <n v="2500"/>
  </r>
  <r>
    <d v="2024-02-06T00:00:00"/>
    <x v="0"/>
    <x v="3"/>
    <n v="3"/>
    <n v="2000"/>
  </r>
  <r>
    <d v="2024-10-22T00:00:00"/>
    <x v="3"/>
    <x v="0"/>
    <n v="18"/>
    <n v="1500"/>
  </r>
  <r>
    <d v="2024-10-16T00:00:00"/>
    <x v="2"/>
    <x v="3"/>
    <n v="17"/>
    <n v="3000"/>
  </r>
  <r>
    <d v="2024-02-25T00:00:00"/>
    <x v="0"/>
    <x v="0"/>
    <n v="17"/>
    <n v="1500"/>
  </r>
  <r>
    <d v="2024-07-07T00:00:00"/>
    <x v="4"/>
    <x v="0"/>
    <n v="4"/>
    <n v="2000"/>
  </r>
  <r>
    <d v="2024-08-23T00:00:00"/>
    <x v="0"/>
    <x v="1"/>
    <n v="13"/>
    <n v="2500"/>
  </r>
  <r>
    <d v="2024-11-04T00:00:00"/>
    <x v="5"/>
    <x v="0"/>
    <n v="9"/>
    <n v="3000"/>
  </r>
  <r>
    <d v="2024-01-07T00:00:00"/>
    <x v="0"/>
    <x v="3"/>
    <n v="4"/>
    <n v="4000"/>
  </r>
  <r>
    <d v="2024-07-25T00:00:00"/>
    <x v="0"/>
    <x v="1"/>
    <n v="17"/>
    <n v="3000"/>
  </r>
  <r>
    <d v="2024-03-22T00:00:00"/>
    <x v="3"/>
    <x v="0"/>
    <n v="14"/>
    <n v="4000"/>
  </r>
  <r>
    <d v="2024-08-26T00:00:00"/>
    <x v="0"/>
    <x v="3"/>
    <n v="11"/>
    <n v="2000"/>
  </r>
  <r>
    <d v="2024-07-04T00:00:00"/>
    <x v="2"/>
    <x v="1"/>
    <n v="9"/>
    <n v="3000"/>
  </r>
  <r>
    <d v="2024-12-13T00:00:00"/>
    <x v="3"/>
    <x v="1"/>
    <n v="12"/>
    <n v="3500"/>
  </r>
  <r>
    <d v="2024-07-14T00:00:00"/>
    <x v="3"/>
    <x v="3"/>
    <n v="9"/>
    <n v="1500"/>
  </r>
  <r>
    <d v="2024-11-18T00:00:00"/>
    <x v="5"/>
    <x v="1"/>
    <n v="5"/>
    <n v="2500"/>
  </r>
  <r>
    <d v="2024-05-22T00:00:00"/>
    <x v="6"/>
    <x v="3"/>
    <n v="20"/>
    <n v="2500"/>
  </r>
  <r>
    <d v="2024-01-08T00:00:00"/>
    <x v="0"/>
    <x v="3"/>
    <n v="8"/>
    <n v="4000"/>
  </r>
  <r>
    <d v="2024-04-23T00:00:00"/>
    <x v="6"/>
    <x v="3"/>
    <n v="5"/>
    <n v="3500"/>
  </r>
  <r>
    <d v="2024-11-10T00:00:00"/>
    <x v="4"/>
    <x v="2"/>
    <n v="17"/>
    <n v="2500"/>
  </r>
  <r>
    <d v="2024-05-11T00:00:00"/>
    <x v="4"/>
    <x v="0"/>
    <n v="14"/>
    <n v="1500"/>
  </r>
  <r>
    <d v="2024-12-07T00:00:00"/>
    <x v="2"/>
    <x v="0"/>
    <n v="18"/>
    <n v="2000"/>
  </r>
  <r>
    <d v="2024-07-20T00:00:00"/>
    <x v="2"/>
    <x v="2"/>
    <n v="7"/>
    <n v="2000"/>
  </r>
  <r>
    <d v="2024-06-15T00:00:00"/>
    <x v="6"/>
    <x v="0"/>
    <n v="1"/>
    <n v="2500"/>
  </r>
  <r>
    <d v="2024-07-30T00:00:00"/>
    <x v="2"/>
    <x v="2"/>
    <n v="16"/>
    <n v="4000"/>
  </r>
  <r>
    <d v="2024-10-11T00:00:00"/>
    <x v="6"/>
    <x v="1"/>
    <n v="7"/>
    <n v="3000"/>
  </r>
  <r>
    <d v="2024-03-18T00:00:00"/>
    <x v="3"/>
    <x v="0"/>
    <n v="7"/>
    <n v="4000"/>
  </r>
  <r>
    <d v="2024-10-15T00:00:00"/>
    <x v="4"/>
    <x v="0"/>
    <n v="19"/>
    <n v="3500"/>
  </r>
  <r>
    <d v="2024-05-17T00:00:00"/>
    <x v="0"/>
    <x v="2"/>
    <n v="3"/>
    <n v="2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d v="2024-12-25T00:00:00"/>
    <x v="0"/>
    <s v="North"/>
    <n v="10"/>
    <n v="2000"/>
    <x v="0"/>
    <n v="20000"/>
  </r>
  <r>
    <d v="2024-06-08T00:00:00"/>
    <x v="0"/>
    <s v="South"/>
    <n v="2"/>
    <n v="2500"/>
    <x v="1"/>
    <n v="5000"/>
  </r>
  <r>
    <d v="2024-07-06T00:00:00"/>
    <x v="1"/>
    <s v="North"/>
    <n v="12"/>
    <n v="2500"/>
    <x v="2"/>
    <n v="30000"/>
  </r>
  <r>
    <d v="2024-12-02T00:00:00"/>
    <x v="2"/>
    <s v="North"/>
    <n v="3"/>
    <n v="2000"/>
    <x v="0"/>
    <n v="6000"/>
  </r>
  <r>
    <d v="2024-12-12T00:00:00"/>
    <x v="3"/>
    <s v="North"/>
    <n v="13"/>
    <n v="3000"/>
    <x v="0"/>
    <n v="39000"/>
  </r>
  <r>
    <d v="2024-05-19T00:00:00"/>
    <x v="4"/>
    <s v="South"/>
    <n v="11"/>
    <n v="2500"/>
    <x v="3"/>
    <n v="27500"/>
  </r>
  <r>
    <d v="2024-11-09T00:00:00"/>
    <x v="4"/>
    <s v="North"/>
    <n v="11"/>
    <n v="1500"/>
    <x v="4"/>
    <n v="16500"/>
  </r>
  <r>
    <d v="2024-08-10T00:00:00"/>
    <x v="5"/>
    <s v="West"/>
    <n v="16"/>
    <n v="3500"/>
    <x v="5"/>
    <n v="56000"/>
  </r>
  <r>
    <d v="2024-06-28T00:00:00"/>
    <x v="4"/>
    <s v="North"/>
    <n v="13"/>
    <n v="3500"/>
    <x v="1"/>
    <n v="45500"/>
  </r>
  <r>
    <d v="2024-03-13T00:00:00"/>
    <x v="0"/>
    <s v="South"/>
    <n v="13"/>
    <n v="2000"/>
    <x v="6"/>
    <n v="26000"/>
  </r>
  <r>
    <d v="2024-03-29T00:00:00"/>
    <x v="1"/>
    <s v="North"/>
    <n v="19"/>
    <n v="3000"/>
    <x v="6"/>
    <n v="57000"/>
  </r>
  <r>
    <d v="2024-10-28T00:00:00"/>
    <x v="2"/>
    <s v="West"/>
    <n v="18"/>
    <n v="2000"/>
    <x v="7"/>
    <n v="36000"/>
  </r>
  <r>
    <d v="2024-09-25T00:00:00"/>
    <x v="0"/>
    <s v="North"/>
    <n v="17"/>
    <n v="2000"/>
    <x v="8"/>
    <n v="34000"/>
  </r>
  <r>
    <d v="2024-11-21T00:00:00"/>
    <x v="4"/>
    <s v="West"/>
    <n v="20"/>
    <n v="1500"/>
    <x v="4"/>
    <n v="30000"/>
  </r>
  <r>
    <d v="2024-01-24T00:00:00"/>
    <x v="2"/>
    <s v="North"/>
    <n v="18"/>
    <n v="3000"/>
    <x v="9"/>
    <n v="54000"/>
  </r>
  <r>
    <d v="2024-02-01T00:00:00"/>
    <x v="5"/>
    <s v="West"/>
    <n v="18"/>
    <n v="3000"/>
    <x v="10"/>
    <n v="54000"/>
  </r>
  <r>
    <d v="2024-04-13T00:00:00"/>
    <x v="6"/>
    <s v="East"/>
    <n v="17"/>
    <n v="4000"/>
    <x v="11"/>
    <n v="68000"/>
  </r>
  <r>
    <d v="2024-06-28T00:00:00"/>
    <x v="5"/>
    <s v="North"/>
    <n v="17"/>
    <n v="2500"/>
    <x v="1"/>
    <n v="42500"/>
  </r>
  <r>
    <d v="2024-12-22T00:00:00"/>
    <x v="4"/>
    <s v="North"/>
    <n v="9"/>
    <n v="2500"/>
    <x v="0"/>
    <n v="22500"/>
  </r>
  <r>
    <d v="2024-06-29T00:00:00"/>
    <x v="4"/>
    <s v="North"/>
    <n v="9"/>
    <n v="2000"/>
    <x v="1"/>
    <n v="18000"/>
  </r>
  <r>
    <d v="2024-04-18T00:00:00"/>
    <x v="1"/>
    <s v="North"/>
    <n v="2"/>
    <n v="3500"/>
    <x v="11"/>
    <n v="7000"/>
  </r>
  <r>
    <d v="2024-10-31T00:00:00"/>
    <x v="1"/>
    <s v="East"/>
    <n v="17"/>
    <n v="4000"/>
    <x v="7"/>
    <n v="68000"/>
  </r>
  <r>
    <d v="2024-08-17T00:00:00"/>
    <x v="1"/>
    <s v="North"/>
    <n v="15"/>
    <n v="3000"/>
    <x v="5"/>
    <n v="45000"/>
  </r>
  <r>
    <d v="2024-03-01T00:00:00"/>
    <x v="0"/>
    <s v="South"/>
    <n v="19"/>
    <n v="3000"/>
    <x v="6"/>
    <n v="57000"/>
  </r>
  <r>
    <d v="2024-02-15T00:00:00"/>
    <x v="2"/>
    <s v="South"/>
    <n v="15"/>
    <n v="4000"/>
    <x v="10"/>
    <n v="60000"/>
  </r>
  <r>
    <d v="2024-01-09T00:00:00"/>
    <x v="5"/>
    <s v="North"/>
    <n v="17"/>
    <n v="2000"/>
    <x v="9"/>
    <n v="34000"/>
  </r>
  <r>
    <d v="2024-05-30T00:00:00"/>
    <x v="0"/>
    <s v="North"/>
    <n v="15"/>
    <n v="2000"/>
    <x v="3"/>
    <n v="30000"/>
  </r>
  <r>
    <d v="2024-12-06T00:00:00"/>
    <x v="0"/>
    <s v="East"/>
    <n v="6"/>
    <n v="3500"/>
    <x v="0"/>
    <n v="21000"/>
  </r>
  <r>
    <d v="2024-02-27T00:00:00"/>
    <x v="1"/>
    <s v="South"/>
    <n v="19"/>
    <n v="2500"/>
    <x v="10"/>
    <n v="47500"/>
  </r>
  <r>
    <d v="2024-04-18T00:00:00"/>
    <x v="4"/>
    <s v="North"/>
    <n v="7"/>
    <n v="3500"/>
    <x v="11"/>
    <n v="24500"/>
  </r>
  <r>
    <d v="2024-11-03T00:00:00"/>
    <x v="2"/>
    <s v="South"/>
    <n v="5"/>
    <n v="2500"/>
    <x v="4"/>
    <n v="12500"/>
  </r>
  <r>
    <d v="2024-08-12T00:00:00"/>
    <x v="0"/>
    <s v="West"/>
    <n v="18"/>
    <n v="1500"/>
    <x v="5"/>
    <n v="27000"/>
  </r>
  <r>
    <d v="2024-11-12T00:00:00"/>
    <x v="5"/>
    <s v="East"/>
    <n v="17"/>
    <n v="4000"/>
    <x v="4"/>
    <n v="68000"/>
  </r>
  <r>
    <d v="2024-04-02T00:00:00"/>
    <x v="0"/>
    <s v="West"/>
    <n v="9"/>
    <n v="2500"/>
    <x v="11"/>
    <n v="22500"/>
  </r>
  <r>
    <d v="2024-05-02T00:00:00"/>
    <x v="3"/>
    <s v="North"/>
    <n v="2"/>
    <n v="3000"/>
    <x v="3"/>
    <n v="6000"/>
  </r>
  <r>
    <d v="2024-08-03T00:00:00"/>
    <x v="6"/>
    <s v="North"/>
    <n v="8"/>
    <n v="3500"/>
    <x v="5"/>
    <n v="28000"/>
  </r>
  <r>
    <d v="2024-09-08T00:00:00"/>
    <x v="3"/>
    <s v="East"/>
    <n v="2"/>
    <n v="2000"/>
    <x v="8"/>
    <n v="4000"/>
  </r>
  <r>
    <d v="2024-01-17T00:00:00"/>
    <x v="0"/>
    <s v="East"/>
    <n v="12"/>
    <n v="4000"/>
    <x v="9"/>
    <n v="48000"/>
  </r>
  <r>
    <d v="2024-08-06T00:00:00"/>
    <x v="4"/>
    <s v="South"/>
    <n v="11"/>
    <n v="3000"/>
    <x v="5"/>
    <n v="33000"/>
  </r>
  <r>
    <d v="2024-01-28T00:00:00"/>
    <x v="0"/>
    <s v="West"/>
    <n v="13"/>
    <n v="3500"/>
    <x v="9"/>
    <n v="45500"/>
  </r>
  <r>
    <d v="2024-02-21T00:00:00"/>
    <x v="4"/>
    <s v="East"/>
    <n v="3"/>
    <n v="3000"/>
    <x v="10"/>
    <n v="9000"/>
  </r>
  <r>
    <d v="2024-05-30T00:00:00"/>
    <x v="6"/>
    <s v="East"/>
    <n v="9"/>
    <n v="2000"/>
    <x v="3"/>
    <n v="18000"/>
  </r>
  <r>
    <d v="2024-07-03T00:00:00"/>
    <x v="5"/>
    <s v="East"/>
    <n v="19"/>
    <n v="1500"/>
    <x v="2"/>
    <n v="28500"/>
  </r>
  <r>
    <d v="2024-11-16T00:00:00"/>
    <x v="5"/>
    <s v="East"/>
    <n v="2"/>
    <n v="4000"/>
    <x v="4"/>
    <n v="8000"/>
  </r>
  <r>
    <d v="2024-07-12T00:00:00"/>
    <x v="2"/>
    <s v="East"/>
    <n v="14"/>
    <n v="4000"/>
    <x v="2"/>
    <n v="56000"/>
  </r>
  <r>
    <d v="2024-11-02T00:00:00"/>
    <x v="1"/>
    <s v="North"/>
    <n v="12"/>
    <n v="2500"/>
    <x v="4"/>
    <n v="30000"/>
  </r>
  <r>
    <d v="2024-11-13T00:00:00"/>
    <x v="3"/>
    <s v="North"/>
    <n v="7"/>
    <n v="4000"/>
    <x v="4"/>
    <n v="28000"/>
  </r>
  <r>
    <d v="2024-04-11T00:00:00"/>
    <x v="3"/>
    <s v="West"/>
    <n v="14"/>
    <n v="4000"/>
    <x v="11"/>
    <n v="56000"/>
  </r>
  <r>
    <d v="2024-06-28T00:00:00"/>
    <x v="1"/>
    <s v="East"/>
    <n v="4"/>
    <n v="2500"/>
    <x v="1"/>
    <n v="10000"/>
  </r>
  <r>
    <d v="2024-09-17T00:00:00"/>
    <x v="6"/>
    <s v="North"/>
    <n v="4"/>
    <n v="4000"/>
    <x v="8"/>
    <n v="16000"/>
  </r>
  <r>
    <d v="2024-02-02T00:00:00"/>
    <x v="4"/>
    <s v="East"/>
    <n v="20"/>
    <n v="2500"/>
    <x v="10"/>
    <n v="50000"/>
  </r>
  <r>
    <d v="2024-05-03T00:00:00"/>
    <x v="6"/>
    <s v="North"/>
    <n v="11"/>
    <n v="1500"/>
    <x v="3"/>
    <n v="16500"/>
  </r>
  <r>
    <d v="2024-04-21T00:00:00"/>
    <x v="5"/>
    <s v="West"/>
    <n v="15"/>
    <n v="3500"/>
    <x v="11"/>
    <n v="52500"/>
  </r>
  <r>
    <d v="2024-06-15T00:00:00"/>
    <x v="3"/>
    <s v="North"/>
    <n v="13"/>
    <n v="2000"/>
    <x v="1"/>
    <n v="26000"/>
  </r>
  <r>
    <d v="2024-05-31T00:00:00"/>
    <x v="4"/>
    <s v="East"/>
    <n v="5"/>
    <n v="2000"/>
    <x v="3"/>
    <n v="10000"/>
  </r>
  <r>
    <d v="2024-06-08T00:00:00"/>
    <x v="6"/>
    <s v="West"/>
    <n v="19"/>
    <n v="1500"/>
    <x v="1"/>
    <n v="28500"/>
  </r>
  <r>
    <d v="2024-01-03T00:00:00"/>
    <x v="6"/>
    <s v="South"/>
    <n v="7"/>
    <n v="3000"/>
    <x v="9"/>
    <n v="21000"/>
  </r>
  <r>
    <d v="2024-04-04T00:00:00"/>
    <x v="5"/>
    <s v="West"/>
    <n v="17"/>
    <n v="3000"/>
    <x v="11"/>
    <n v="51000"/>
  </r>
  <r>
    <d v="2024-12-15T00:00:00"/>
    <x v="4"/>
    <s v="West"/>
    <n v="10"/>
    <n v="3000"/>
    <x v="0"/>
    <n v="30000"/>
  </r>
  <r>
    <d v="2024-07-17T00:00:00"/>
    <x v="2"/>
    <s v="East"/>
    <n v="18"/>
    <n v="1500"/>
    <x v="2"/>
    <n v="27000"/>
  </r>
  <r>
    <d v="2024-07-25T00:00:00"/>
    <x v="6"/>
    <s v="West"/>
    <n v="12"/>
    <n v="3000"/>
    <x v="2"/>
    <n v="36000"/>
  </r>
  <r>
    <d v="2024-05-13T00:00:00"/>
    <x v="3"/>
    <s v="South"/>
    <n v="7"/>
    <n v="3000"/>
    <x v="3"/>
    <n v="21000"/>
  </r>
  <r>
    <d v="2024-03-06T00:00:00"/>
    <x v="0"/>
    <s v="West"/>
    <n v="2"/>
    <n v="2000"/>
    <x v="6"/>
    <n v="4000"/>
  </r>
  <r>
    <d v="2024-01-01T00:00:00"/>
    <x v="5"/>
    <s v="West"/>
    <n v="4"/>
    <n v="4000"/>
    <x v="9"/>
    <n v="16000"/>
  </r>
  <r>
    <d v="2024-01-21T00:00:00"/>
    <x v="1"/>
    <s v="South"/>
    <n v="5"/>
    <n v="2000"/>
    <x v="9"/>
    <n v="10000"/>
  </r>
  <r>
    <d v="2024-06-29T00:00:00"/>
    <x v="4"/>
    <s v="South"/>
    <n v="6"/>
    <n v="2000"/>
    <x v="1"/>
    <n v="12000"/>
  </r>
  <r>
    <d v="2024-11-07T00:00:00"/>
    <x v="0"/>
    <s v="South"/>
    <n v="2"/>
    <n v="1500"/>
    <x v="4"/>
    <n v="3000"/>
  </r>
  <r>
    <d v="2024-04-06T00:00:00"/>
    <x v="0"/>
    <s v="South"/>
    <n v="1"/>
    <n v="1500"/>
    <x v="11"/>
    <n v="1500"/>
  </r>
  <r>
    <d v="2024-03-06T00:00:00"/>
    <x v="1"/>
    <s v="West"/>
    <n v="5"/>
    <n v="1500"/>
    <x v="6"/>
    <n v="7500"/>
  </r>
  <r>
    <d v="2024-10-24T00:00:00"/>
    <x v="4"/>
    <s v="East"/>
    <n v="8"/>
    <n v="4000"/>
    <x v="7"/>
    <n v="32000"/>
  </r>
  <r>
    <d v="2024-01-20T00:00:00"/>
    <x v="2"/>
    <s v="North"/>
    <n v="9"/>
    <n v="3500"/>
    <x v="9"/>
    <n v="31500"/>
  </r>
  <r>
    <d v="2024-03-25T00:00:00"/>
    <x v="4"/>
    <s v="South"/>
    <n v="8"/>
    <n v="1500"/>
    <x v="6"/>
    <n v="12000"/>
  </r>
  <r>
    <d v="2024-11-06T00:00:00"/>
    <x v="4"/>
    <s v="North"/>
    <n v="12"/>
    <n v="2500"/>
    <x v="4"/>
    <n v="30000"/>
  </r>
  <r>
    <d v="2024-07-30T00:00:00"/>
    <x v="4"/>
    <s v="North"/>
    <n v="18"/>
    <n v="2500"/>
    <x v="2"/>
    <n v="45000"/>
  </r>
  <r>
    <d v="2024-05-20T00:00:00"/>
    <x v="5"/>
    <s v="South"/>
    <n v="7"/>
    <n v="1500"/>
    <x v="3"/>
    <n v="10500"/>
  </r>
  <r>
    <d v="2024-07-10T00:00:00"/>
    <x v="3"/>
    <s v="North"/>
    <n v="15"/>
    <n v="3500"/>
    <x v="2"/>
    <n v="52500"/>
  </r>
  <r>
    <d v="2024-08-24T00:00:00"/>
    <x v="6"/>
    <s v="South"/>
    <n v="12"/>
    <n v="3000"/>
    <x v="5"/>
    <n v="36000"/>
  </r>
  <r>
    <d v="2024-12-11T00:00:00"/>
    <x v="2"/>
    <s v="North"/>
    <n v="7"/>
    <n v="3000"/>
    <x v="0"/>
    <n v="21000"/>
  </r>
  <r>
    <d v="2024-08-09T00:00:00"/>
    <x v="5"/>
    <s v="South"/>
    <n v="16"/>
    <n v="2500"/>
    <x v="5"/>
    <n v="40000"/>
  </r>
  <r>
    <d v="2024-05-30T00:00:00"/>
    <x v="0"/>
    <s v="West"/>
    <n v="12"/>
    <n v="2000"/>
    <x v="3"/>
    <n v="24000"/>
  </r>
  <r>
    <d v="2024-10-20T00:00:00"/>
    <x v="2"/>
    <s v="North"/>
    <n v="11"/>
    <n v="2000"/>
    <x v="7"/>
    <n v="22000"/>
  </r>
  <r>
    <d v="2024-04-10T00:00:00"/>
    <x v="3"/>
    <s v="South"/>
    <n v="16"/>
    <n v="2000"/>
    <x v="11"/>
    <n v="32000"/>
  </r>
  <r>
    <d v="2024-12-16T00:00:00"/>
    <x v="2"/>
    <s v="North"/>
    <n v="6"/>
    <n v="3000"/>
    <x v="0"/>
    <n v="18000"/>
  </r>
  <r>
    <d v="2024-05-10T00:00:00"/>
    <x v="2"/>
    <s v="North"/>
    <n v="17"/>
    <n v="3000"/>
    <x v="3"/>
    <n v="51000"/>
  </r>
  <r>
    <d v="2024-09-04T00:00:00"/>
    <x v="3"/>
    <s v="South"/>
    <n v="9"/>
    <n v="4000"/>
    <x v="8"/>
    <n v="36000"/>
  </r>
  <r>
    <d v="2024-01-23T00:00:00"/>
    <x v="1"/>
    <s v="East"/>
    <n v="12"/>
    <n v="4000"/>
    <x v="9"/>
    <n v="48000"/>
  </r>
  <r>
    <d v="2024-06-30T00:00:00"/>
    <x v="0"/>
    <s v="South"/>
    <n v="8"/>
    <n v="2000"/>
    <x v="1"/>
    <n v="16000"/>
  </r>
  <r>
    <d v="2024-04-06T00:00:00"/>
    <x v="1"/>
    <s v="North"/>
    <n v="5"/>
    <n v="2000"/>
    <x v="11"/>
    <n v="10000"/>
  </r>
  <r>
    <d v="2024-02-20T00:00:00"/>
    <x v="4"/>
    <s v="North"/>
    <n v="7"/>
    <n v="2000"/>
    <x v="10"/>
    <n v="14000"/>
  </r>
  <r>
    <d v="2024-08-19T00:00:00"/>
    <x v="3"/>
    <s v="North"/>
    <n v="14"/>
    <n v="3500"/>
    <x v="5"/>
    <n v="49000"/>
  </r>
  <r>
    <d v="2024-12-25T00:00:00"/>
    <x v="0"/>
    <s v="East"/>
    <n v="18"/>
    <n v="2000"/>
    <x v="0"/>
    <n v="36000"/>
  </r>
  <r>
    <d v="2024-05-29T00:00:00"/>
    <x v="3"/>
    <s v="North"/>
    <n v="18"/>
    <n v="2500"/>
    <x v="3"/>
    <n v="45000"/>
  </r>
  <r>
    <d v="2024-02-06T00:00:00"/>
    <x v="0"/>
    <s v="East"/>
    <n v="3"/>
    <n v="2000"/>
    <x v="10"/>
    <n v="6000"/>
  </r>
  <r>
    <d v="2024-10-22T00:00:00"/>
    <x v="3"/>
    <s v="North"/>
    <n v="18"/>
    <n v="1500"/>
    <x v="7"/>
    <n v="27000"/>
  </r>
  <r>
    <d v="2024-10-16T00:00:00"/>
    <x v="2"/>
    <s v="East"/>
    <n v="17"/>
    <n v="3000"/>
    <x v="7"/>
    <n v="51000"/>
  </r>
  <r>
    <d v="2024-02-25T00:00:00"/>
    <x v="0"/>
    <s v="North"/>
    <n v="17"/>
    <n v="1500"/>
    <x v="10"/>
    <n v="25500"/>
  </r>
  <r>
    <d v="2024-07-07T00:00:00"/>
    <x v="4"/>
    <s v="North"/>
    <n v="4"/>
    <n v="2000"/>
    <x v="2"/>
    <n v="8000"/>
  </r>
  <r>
    <d v="2024-08-23T00:00:00"/>
    <x v="0"/>
    <s v="South"/>
    <n v="13"/>
    <n v="2500"/>
    <x v="5"/>
    <n v="32500"/>
  </r>
  <r>
    <d v="2024-11-04T00:00:00"/>
    <x v="5"/>
    <s v="North"/>
    <n v="9"/>
    <n v="3000"/>
    <x v="4"/>
    <n v="27000"/>
  </r>
  <r>
    <d v="2024-01-07T00:00:00"/>
    <x v="0"/>
    <s v="East"/>
    <n v="4"/>
    <n v="4000"/>
    <x v="9"/>
    <n v="16000"/>
  </r>
  <r>
    <d v="2024-07-25T00:00:00"/>
    <x v="0"/>
    <s v="South"/>
    <n v="17"/>
    <n v="3000"/>
    <x v="2"/>
    <n v="51000"/>
  </r>
  <r>
    <d v="2024-03-22T00:00:00"/>
    <x v="3"/>
    <s v="North"/>
    <n v="14"/>
    <n v="4000"/>
    <x v="6"/>
    <n v="56000"/>
  </r>
  <r>
    <d v="2024-08-26T00:00:00"/>
    <x v="0"/>
    <s v="East"/>
    <n v="11"/>
    <n v="2000"/>
    <x v="5"/>
    <n v="22000"/>
  </r>
  <r>
    <d v="2024-07-04T00:00:00"/>
    <x v="2"/>
    <s v="South"/>
    <n v="9"/>
    <n v="3000"/>
    <x v="2"/>
    <n v="27000"/>
  </r>
  <r>
    <d v="2024-12-13T00:00:00"/>
    <x v="3"/>
    <s v="South"/>
    <n v="12"/>
    <n v="3500"/>
    <x v="0"/>
    <n v="42000"/>
  </r>
  <r>
    <d v="2024-07-14T00:00:00"/>
    <x v="3"/>
    <s v="East"/>
    <n v="9"/>
    <n v="1500"/>
    <x v="2"/>
    <n v="13500"/>
  </r>
  <r>
    <d v="2024-11-18T00:00:00"/>
    <x v="5"/>
    <s v="South"/>
    <n v="5"/>
    <n v="2500"/>
    <x v="4"/>
    <n v="12500"/>
  </r>
  <r>
    <d v="2024-05-22T00:00:00"/>
    <x v="6"/>
    <s v="East"/>
    <n v="20"/>
    <n v="2500"/>
    <x v="3"/>
    <n v="50000"/>
  </r>
  <r>
    <d v="2024-01-08T00:00:00"/>
    <x v="0"/>
    <s v="East"/>
    <n v="8"/>
    <n v="4000"/>
    <x v="9"/>
    <n v="32000"/>
  </r>
  <r>
    <d v="2024-04-23T00:00:00"/>
    <x v="6"/>
    <s v="East"/>
    <n v="5"/>
    <n v="3500"/>
    <x v="11"/>
    <n v="17500"/>
  </r>
  <r>
    <d v="2024-11-10T00:00:00"/>
    <x v="4"/>
    <s v="West"/>
    <n v="17"/>
    <n v="2500"/>
    <x v="4"/>
    <n v="42500"/>
  </r>
  <r>
    <d v="2024-05-11T00:00:00"/>
    <x v="4"/>
    <s v="North"/>
    <n v="14"/>
    <n v="1500"/>
    <x v="3"/>
    <n v="21000"/>
  </r>
  <r>
    <d v="2024-12-07T00:00:00"/>
    <x v="2"/>
    <s v="North"/>
    <n v="18"/>
    <n v="2000"/>
    <x v="0"/>
    <n v="36000"/>
  </r>
  <r>
    <d v="2024-07-20T00:00:00"/>
    <x v="2"/>
    <s v="West"/>
    <n v="7"/>
    <n v="2000"/>
    <x v="2"/>
    <n v="14000"/>
  </r>
  <r>
    <d v="2024-06-15T00:00:00"/>
    <x v="6"/>
    <s v="North"/>
    <n v="1"/>
    <n v="2500"/>
    <x v="1"/>
    <n v="2500"/>
  </r>
  <r>
    <d v="2024-07-30T00:00:00"/>
    <x v="2"/>
    <s v="West"/>
    <n v="16"/>
    <n v="4000"/>
    <x v="2"/>
    <n v="64000"/>
  </r>
  <r>
    <d v="2024-10-11T00:00:00"/>
    <x v="6"/>
    <s v="South"/>
    <n v="7"/>
    <n v="3000"/>
    <x v="7"/>
    <n v="21000"/>
  </r>
  <r>
    <d v="2024-03-18T00:00:00"/>
    <x v="3"/>
    <s v="North"/>
    <n v="7"/>
    <n v="4000"/>
    <x v="6"/>
    <n v="28000"/>
  </r>
  <r>
    <d v="2024-10-15T00:00:00"/>
    <x v="4"/>
    <s v="North"/>
    <n v="19"/>
    <n v="3500"/>
    <x v="7"/>
    <n v="66500"/>
  </r>
  <r>
    <d v="2024-05-17T00:00:00"/>
    <x v="0"/>
    <s v="West"/>
    <n v="3"/>
    <n v="2500"/>
    <x v="3"/>
    <n v="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7DE51-3FD4-41E0-944E-E800C65A2E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1" firstHeaderRow="0" firstDataRow="1" firstDataCol="1"/>
  <pivotFields count="6">
    <pivotField numFmtId="164" showAll="0"/>
    <pivotField axis="axisRow" showAll="0">
      <items count="8">
        <item x="1"/>
        <item x="6"/>
        <item x="0"/>
        <item x="4"/>
        <item x="3"/>
        <item x="2"/>
        <item x="5"/>
        <item t="default"/>
      </items>
    </pivotField>
    <pivotField showAll="0"/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3" baseField="0" baseItem="0"/>
    <dataField name="Sum of Unit Price" fld="4" baseField="1" baseItem="0"/>
    <dataField name="Sum of TOTAL SALES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39985-BCD7-4D5C-8175-5D4138A2923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6">
    <pivotField numFmtId="164" showAll="0"/>
    <pivotField showAll="0">
      <items count="8">
        <item h="1" x="1"/>
        <item x="6"/>
        <item x="0"/>
        <item x="4"/>
        <item x="3"/>
        <item x="2"/>
        <item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5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DC2C9-7DBB-49C8-BD9C-7D20B1C5B63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7">
    <pivotField numFmtId="164" showAll="0"/>
    <pivotField showAll="0"/>
    <pivotField showAll="0"/>
    <pivotField showAll="0"/>
    <pivotField showAll="0"/>
    <pivotField axis="axisRow" showAll="0">
      <items count="13">
        <item x="9"/>
        <item x="10"/>
        <item x="6"/>
        <item x="11"/>
        <item x="3"/>
        <item x="1"/>
        <item x="2"/>
        <item x="5"/>
        <item x="8"/>
        <item x="7"/>
        <item x="4"/>
        <item x="0"/>
        <item t="default"/>
      </items>
    </pivotField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5B66D-99E7-4C4D-A6FC-C51B0369A140}" name="Table1" displayName="Table1" ref="A1:G121" totalsRowShown="0">
  <autoFilter ref="A1:G121" xr:uid="{14E5B66D-99E7-4C4D-A6FC-C51B0369A140}"/>
  <tableColumns count="7">
    <tableColumn id="1" xr3:uid="{D00AFA2E-A177-4DFD-AAF1-74275C0E8EBF}" name="Date" dataDxfId="0"/>
    <tableColumn id="2" xr3:uid="{A41B1D77-AA7A-4A66-99A9-3B22A31C1EAC}" name="Product"/>
    <tableColumn id="3" xr3:uid="{543BBFE9-4DEB-4E8A-A94E-2E50385638FB}" name="Region"/>
    <tableColumn id="4" xr3:uid="{BE10E89B-6348-4446-BA9E-52E4496AAAFB}" name="Quantity"/>
    <tableColumn id="5" xr3:uid="{5BDDCF89-A552-4EE8-A208-04725118FE87}" name="Unit Price"/>
    <tableColumn id="6" xr3:uid="{9E22EE14-B4B8-4223-B8A5-845B3126A1E1}" name="Month">
      <calculatedColumnFormula>TEXT(A2,"MMM")</calculatedColumnFormula>
    </tableColumn>
    <tableColumn id="7" xr3:uid="{00C2092B-D2BF-4FC5-BCAB-8C1FA105ECAE}" name="Total Sales">
      <calculatedColumnFormula>D2*E2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CB39-6B71-446F-AB5A-4A4A13A04F28}">
  <dimension ref="A1:D11"/>
  <sheetViews>
    <sheetView workbookViewId="0">
      <selection activeCell="D5" sqref="D5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6.42578125" bestFit="1" customWidth="1"/>
    <col min="4" max="4" width="19" bestFit="1" customWidth="1"/>
  </cols>
  <sheetData>
    <row r="1" spans="1:4" x14ac:dyDescent="0.25">
      <c r="B1" s="4" t="s">
        <v>22</v>
      </c>
      <c r="C1" s="4"/>
    </row>
    <row r="3" spans="1:4" x14ac:dyDescent="0.25">
      <c r="A3" s="2" t="s">
        <v>16</v>
      </c>
      <c r="B3" t="s">
        <v>18</v>
      </c>
      <c r="C3" t="s">
        <v>19</v>
      </c>
      <c r="D3" t="s">
        <v>20</v>
      </c>
    </row>
    <row r="4" spans="1:4" x14ac:dyDescent="0.25">
      <c r="A4" s="3" t="s">
        <v>8</v>
      </c>
      <c r="B4" s="17">
        <v>127</v>
      </c>
      <c r="C4" s="17">
        <v>33000</v>
      </c>
      <c r="D4" s="17">
        <v>4191000</v>
      </c>
    </row>
    <row r="5" spans="1:4" x14ac:dyDescent="0.25">
      <c r="A5" s="3" t="s">
        <v>14</v>
      </c>
      <c r="B5" s="17">
        <v>132</v>
      </c>
      <c r="C5" s="17">
        <v>37000</v>
      </c>
      <c r="D5" s="17">
        <v>4884000</v>
      </c>
    </row>
    <row r="6" spans="1:4" x14ac:dyDescent="0.25">
      <c r="A6" s="3" t="s">
        <v>5</v>
      </c>
      <c r="B6" s="17">
        <v>253</v>
      </c>
      <c r="C6" s="17">
        <v>61000</v>
      </c>
      <c r="D6" s="17">
        <v>15433000</v>
      </c>
    </row>
    <row r="7" spans="1:4" x14ac:dyDescent="0.25">
      <c r="A7" s="3" t="s">
        <v>11</v>
      </c>
      <c r="B7" s="17">
        <v>242</v>
      </c>
      <c r="C7" s="17">
        <v>54500</v>
      </c>
      <c r="D7" s="17">
        <v>13189000</v>
      </c>
    </row>
    <row r="8" spans="1:4" x14ac:dyDescent="0.25">
      <c r="A8" s="3" t="s">
        <v>10</v>
      </c>
      <c r="B8" s="17">
        <v>190</v>
      </c>
      <c r="C8" s="17">
        <v>51000</v>
      </c>
      <c r="D8" s="17">
        <v>9690000</v>
      </c>
    </row>
    <row r="9" spans="1:4" x14ac:dyDescent="0.25">
      <c r="A9" s="3" t="s">
        <v>9</v>
      </c>
      <c r="B9" s="17">
        <v>208</v>
      </c>
      <c r="C9" s="17">
        <v>47500</v>
      </c>
      <c r="D9" s="17">
        <v>9880000</v>
      </c>
    </row>
    <row r="10" spans="1:4" x14ac:dyDescent="0.25">
      <c r="A10" s="3" t="s">
        <v>12</v>
      </c>
      <c r="B10" s="17">
        <v>179</v>
      </c>
      <c r="C10" s="17">
        <v>40500</v>
      </c>
      <c r="D10" s="17">
        <v>7249500</v>
      </c>
    </row>
    <row r="11" spans="1:4" x14ac:dyDescent="0.25">
      <c r="A11" s="3" t="s">
        <v>17</v>
      </c>
      <c r="B11" s="17">
        <v>1331</v>
      </c>
      <c r="C11" s="17">
        <v>324500</v>
      </c>
      <c r="D11" s="17">
        <v>431909500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83AA-BD58-4CE1-BD2A-D18439609431}">
  <dimension ref="A1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" bestFit="1" customWidth="1"/>
  </cols>
  <sheetData>
    <row r="1" spans="1:2" x14ac:dyDescent="0.25">
      <c r="A1" s="18" t="s">
        <v>21</v>
      </c>
      <c r="B1" s="18"/>
    </row>
    <row r="3" spans="1:2" x14ac:dyDescent="0.25">
      <c r="A3" s="2" t="s">
        <v>16</v>
      </c>
      <c r="B3" t="s">
        <v>20</v>
      </c>
    </row>
    <row r="4" spans="1:2" x14ac:dyDescent="0.25">
      <c r="A4" s="3" t="s">
        <v>15</v>
      </c>
      <c r="B4" s="17">
        <v>21560000</v>
      </c>
    </row>
    <row r="5" spans="1:2" x14ac:dyDescent="0.25">
      <c r="A5" s="3" t="s">
        <v>6</v>
      </c>
      <c r="B5" s="17">
        <v>64190000</v>
      </c>
    </row>
    <row r="6" spans="1:2" x14ac:dyDescent="0.25">
      <c r="A6" s="3" t="s">
        <v>7</v>
      </c>
      <c r="B6" s="17">
        <v>18078000</v>
      </c>
    </row>
    <row r="7" spans="1:2" x14ac:dyDescent="0.25">
      <c r="A7" s="3" t="s">
        <v>13</v>
      </c>
      <c r="B7" s="17">
        <v>14840000</v>
      </c>
    </row>
    <row r="8" spans="1:2" x14ac:dyDescent="0.25">
      <c r="A8" s="3" t="s">
        <v>17</v>
      </c>
      <c r="B8" s="17">
        <v>431909500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BF3D-F141-441D-B1EF-27A6BB274ABE}">
  <dimension ref="A1:B16"/>
  <sheetViews>
    <sheetView workbookViewId="0">
      <selection sqref="A1:B1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1" spans="1:2" x14ac:dyDescent="0.25">
      <c r="A1" s="13" t="s">
        <v>38</v>
      </c>
      <c r="B1" s="13"/>
    </row>
    <row r="3" spans="1:2" x14ac:dyDescent="0.25">
      <c r="A3" s="2" t="s">
        <v>16</v>
      </c>
      <c r="B3" t="s">
        <v>37</v>
      </c>
    </row>
    <row r="4" spans="1:2" x14ac:dyDescent="0.25">
      <c r="A4" s="3" t="s">
        <v>24</v>
      </c>
      <c r="B4">
        <v>356000</v>
      </c>
    </row>
    <row r="5" spans="1:2" x14ac:dyDescent="0.25">
      <c r="A5" s="3" t="s">
        <v>25</v>
      </c>
      <c r="B5">
        <v>266000</v>
      </c>
    </row>
    <row r="6" spans="1:2" x14ac:dyDescent="0.25">
      <c r="A6" s="3" t="s">
        <v>26</v>
      </c>
      <c r="B6">
        <v>247500</v>
      </c>
    </row>
    <row r="7" spans="1:2" x14ac:dyDescent="0.25">
      <c r="A7" s="3" t="s">
        <v>27</v>
      </c>
      <c r="B7">
        <v>342500</v>
      </c>
    </row>
    <row r="8" spans="1:2" x14ac:dyDescent="0.25">
      <c r="A8" s="3" t="s">
        <v>28</v>
      </c>
      <c r="B8">
        <v>338000</v>
      </c>
    </row>
    <row r="9" spans="1:2" x14ac:dyDescent="0.25">
      <c r="A9" s="3" t="s">
        <v>29</v>
      </c>
      <c r="B9">
        <v>206000</v>
      </c>
    </row>
    <row r="10" spans="1:2" x14ac:dyDescent="0.25">
      <c r="A10" s="3" t="s">
        <v>30</v>
      </c>
      <c r="B10">
        <v>452500</v>
      </c>
    </row>
    <row r="11" spans="1:2" x14ac:dyDescent="0.25">
      <c r="A11" s="3" t="s">
        <v>31</v>
      </c>
      <c r="B11">
        <v>368500</v>
      </c>
    </row>
    <row r="12" spans="1:2" x14ac:dyDescent="0.25">
      <c r="A12" s="3" t="s">
        <v>32</v>
      </c>
      <c r="B12">
        <v>90000</v>
      </c>
    </row>
    <row r="13" spans="1:2" x14ac:dyDescent="0.25">
      <c r="A13" s="3" t="s">
        <v>33</v>
      </c>
      <c r="B13">
        <v>323500</v>
      </c>
    </row>
    <row r="14" spans="1:2" x14ac:dyDescent="0.25">
      <c r="A14" s="3" t="s">
        <v>34</v>
      </c>
      <c r="B14">
        <v>308000</v>
      </c>
    </row>
    <row r="15" spans="1:2" x14ac:dyDescent="0.25">
      <c r="A15" s="3" t="s">
        <v>35</v>
      </c>
      <c r="B15">
        <v>291500</v>
      </c>
    </row>
    <row r="16" spans="1:2" x14ac:dyDescent="0.25">
      <c r="A16" s="3" t="s">
        <v>17</v>
      </c>
      <c r="B16">
        <v>3590000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E327-7F16-42C0-B7DD-37E2EDDFBB50}">
  <dimension ref="B1:V25"/>
  <sheetViews>
    <sheetView tabSelected="1" zoomScale="85" zoomScaleNormal="85" workbookViewId="0">
      <selection activeCell="W19" sqref="W19"/>
    </sheetView>
  </sheetViews>
  <sheetFormatPr defaultRowHeight="15" x14ac:dyDescent="0.25"/>
  <sheetData>
    <row r="1" spans="2:22" ht="15.75" thickBot="1" x14ac:dyDescent="0.3"/>
    <row r="2" spans="2:22" x14ac:dyDescent="0.25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1"/>
    </row>
    <row r="3" spans="2:22" x14ac:dyDescent="0.25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</row>
    <row r="4" spans="2:22" x14ac:dyDescent="0.25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4"/>
    </row>
    <row r="5" spans="2:22" ht="15.75" thickBot="1" x14ac:dyDescent="0.3"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4"/>
    </row>
    <row r="6" spans="2:22" ht="15.75" thickBot="1" x14ac:dyDescent="0.3">
      <c r="B6" s="5"/>
      <c r="C6" s="6"/>
      <c r="D6" s="6"/>
      <c r="E6" s="6"/>
      <c r="F6" s="6"/>
      <c r="G6" s="6"/>
      <c r="H6" s="7"/>
      <c r="I6" s="5"/>
      <c r="J6" s="6"/>
      <c r="K6" s="6"/>
      <c r="L6" s="6"/>
      <c r="M6" s="6"/>
      <c r="N6" s="6"/>
      <c r="O6" s="7"/>
      <c r="P6" s="5"/>
      <c r="Q6" s="6"/>
      <c r="R6" s="6"/>
      <c r="S6" s="6"/>
      <c r="T6" s="6"/>
      <c r="U6" s="6"/>
      <c r="V6" s="7"/>
    </row>
    <row r="7" spans="2:22" x14ac:dyDescent="0.25">
      <c r="B7" s="8"/>
      <c r="C7" s="5"/>
      <c r="D7" s="6"/>
      <c r="E7" s="6"/>
      <c r="F7" s="6"/>
      <c r="G7" s="7"/>
      <c r="H7" s="9"/>
      <c r="I7" s="8"/>
      <c r="J7" s="5"/>
      <c r="K7" s="6"/>
      <c r="L7" s="6"/>
      <c r="M7" s="6"/>
      <c r="N7" s="7"/>
      <c r="O7" s="9"/>
      <c r="P7" s="8"/>
      <c r="Q7" s="5"/>
      <c r="R7" s="6"/>
      <c r="S7" s="6"/>
      <c r="T7" s="6"/>
      <c r="U7" s="7"/>
      <c r="V7" s="9"/>
    </row>
    <row r="8" spans="2:22" ht="26.25" x14ac:dyDescent="0.4">
      <c r="B8" s="8"/>
      <c r="C8" s="29" t="s">
        <v>39</v>
      </c>
      <c r="D8" s="25"/>
      <c r="E8" s="25"/>
      <c r="F8" s="25"/>
      <c r="G8" s="30"/>
      <c r="H8" s="9"/>
      <c r="I8" s="8"/>
      <c r="J8" s="29" t="s">
        <v>40</v>
      </c>
      <c r="K8" s="25"/>
      <c r="L8" s="25"/>
      <c r="M8" s="25"/>
      <c r="N8" s="30"/>
      <c r="O8" s="9"/>
      <c r="P8" s="8"/>
      <c r="Q8" s="29" t="s">
        <v>41</v>
      </c>
      <c r="R8" s="25"/>
      <c r="S8" s="25"/>
      <c r="T8" s="25"/>
      <c r="U8" s="30"/>
      <c r="V8" s="9"/>
    </row>
    <row r="9" spans="2:22" ht="15" customHeight="1" x14ac:dyDescent="0.25">
      <c r="B9" s="8"/>
      <c r="C9" s="8"/>
      <c r="D9" s="14">
        <f>SUM(Table1[Total Sales])</f>
        <v>3590000</v>
      </c>
      <c r="E9" s="15"/>
      <c r="F9" s="16"/>
      <c r="G9" s="9"/>
      <c r="H9" s="9"/>
      <c r="I9" s="8"/>
      <c r="J9" s="8"/>
      <c r="K9" s="14">
        <f>SUM(Table1[Quantity])</f>
        <v>1331</v>
      </c>
      <c r="L9" s="15"/>
      <c r="M9" s="16"/>
      <c r="N9" s="9"/>
      <c r="O9" s="9"/>
      <c r="P9" s="8"/>
      <c r="Q9" s="8"/>
      <c r="R9" s="14">
        <f>SUM(Table1[Total Sales])/SUM(Table1[Quantity])</f>
        <v>2697.2201352366642</v>
      </c>
      <c r="S9" s="15"/>
      <c r="T9" s="16"/>
      <c r="U9" s="9"/>
      <c r="V9" s="9"/>
    </row>
    <row r="10" spans="2:22" ht="15" customHeight="1" thickBot="1" x14ac:dyDescent="0.3">
      <c r="B10" s="8"/>
      <c r="C10" s="10"/>
      <c r="D10" s="31"/>
      <c r="E10" s="32"/>
      <c r="F10" s="33"/>
      <c r="G10" s="12"/>
      <c r="H10" s="9"/>
      <c r="I10" s="8"/>
      <c r="J10" s="10"/>
      <c r="K10" s="31"/>
      <c r="L10" s="32"/>
      <c r="M10" s="33"/>
      <c r="N10" s="12"/>
      <c r="O10" s="9"/>
      <c r="P10" s="8"/>
      <c r="Q10" s="10"/>
      <c r="R10" s="31"/>
      <c r="S10" s="32"/>
      <c r="T10" s="33"/>
      <c r="U10" s="12"/>
      <c r="V10" s="9"/>
    </row>
    <row r="11" spans="2:22" ht="15.75" thickBot="1" x14ac:dyDescent="0.3">
      <c r="B11" s="10"/>
      <c r="C11" s="11"/>
      <c r="D11" s="11"/>
      <c r="E11" s="11"/>
      <c r="F11" s="11"/>
      <c r="G11" s="11"/>
      <c r="H11" s="12"/>
      <c r="I11" s="10"/>
      <c r="J11" s="11"/>
      <c r="K11" s="11"/>
      <c r="L11" s="11"/>
      <c r="M11" s="11"/>
      <c r="N11" s="11"/>
      <c r="O11" s="12"/>
      <c r="P11" s="10"/>
      <c r="Q11" s="11"/>
      <c r="R11" s="11"/>
      <c r="S11" s="11"/>
      <c r="T11" s="11"/>
      <c r="U11" s="11"/>
      <c r="V11" s="12"/>
    </row>
    <row r="12" spans="2:22" x14ac:dyDescent="0.25"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4"/>
    </row>
    <row r="13" spans="2:22" x14ac:dyDescent="0.25"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4"/>
    </row>
    <row r="14" spans="2:22" x14ac:dyDescent="0.25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4"/>
    </row>
    <row r="15" spans="2:22" x14ac:dyDescent="0.25"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4"/>
    </row>
    <row r="16" spans="2:22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2:22" x14ac:dyDescent="0.25"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4"/>
    </row>
    <row r="18" spans="2:22" x14ac:dyDescent="0.25"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4"/>
    </row>
    <row r="19" spans="2:22" x14ac:dyDescent="0.25"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 spans="2:22" x14ac:dyDescent="0.25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4"/>
    </row>
    <row r="21" spans="2:22" x14ac:dyDescent="0.25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4"/>
    </row>
    <row r="22" spans="2:22" x14ac:dyDescent="0.25"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4"/>
    </row>
    <row r="23" spans="2:22" x14ac:dyDescent="0.25"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4"/>
    </row>
    <row r="24" spans="2:22" x14ac:dyDescent="0.25"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4"/>
    </row>
    <row r="25" spans="2:22" ht="15.75" thickBot="1" x14ac:dyDescent="0.3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8"/>
    </row>
  </sheetData>
  <mergeCells count="6">
    <mergeCell ref="C8:G8"/>
    <mergeCell ref="J8:N8"/>
    <mergeCell ref="Q8:U8"/>
    <mergeCell ref="D9:F10"/>
    <mergeCell ref="K9:M10"/>
    <mergeCell ref="R9:T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workbookViewId="0">
      <selection activeCell="G1" sqref="G1"/>
    </sheetView>
  </sheetViews>
  <sheetFormatPr defaultRowHeight="15" x14ac:dyDescent="0.25"/>
  <cols>
    <col min="1" max="1" width="10.42578125" bestFit="1" customWidth="1"/>
    <col min="2" max="2" width="10" customWidth="1"/>
    <col min="3" max="3" width="9.28515625" customWidth="1"/>
    <col min="4" max="4" width="10.85546875" customWidth="1"/>
    <col min="5" max="5" width="11.85546875" customWidth="1"/>
    <col min="7" max="7" width="1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36</v>
      </c>
    </row>
    <row r="2" spans="1:7" x14ac:dyDescent="0.25">
      <c r="A2" s="1">
        <v>45651</v>
      </c>
      <c r="B2" t="s">
        <v>5</v>
      </c>
      <c r="C2" t="s">
        <v>6</v>
      </c>
      <c r="D2">
        <v>10</v>
      </c>
      <c r="E2">
        <v>2000</v>
      </c>
      <c r="F2" t="str">
        <f>TEXT(A2,"MMM")</f>
        <v>Dec</v>
      </c>
      <c r="G2">
        <f>D2*E2</f>
        <v>20000</v>
      </c>
    </row>
    <row r="3" spans="1:7" x14ac:dyDescent="0.25">
      <c r="A3" s="1">
        <v>45451</v>
      </c>
      <c r="B3" t="s">
        <v>5</v>
      </c>
      <c r="C3" t="s">
        <v>7</v>
      </c>
      <c r="D3">
        <v>2</v>
      </c>
      <c r="E3">
        <v>2500</v>
      </c>
      <c r="F3" t="str">
        <f t="shared" ref="F3:F66" si="0">TEXT(A3,"MMM")</f>
        <v>Jun</v>
      </c>
      <c r="G3">
        <f t="shared" ref="G3:G66" si="1">D3*E3</f>
        <v>5000</v>
      </c>
    </row>
    <row r="4" spans="1:7" x14ac:dyDescent="0.25">
      <c r="A4" s="1">
        <v>45479</v>
      </c>
      <c r="B4" t="s">
        <v>8</v>
      </c>
      <c r="C4" t="s">
        <v>6</v>
      </c>
      <c r="D4">
        <v>12</v>
      </c>
      <c r="E4">
        <v>2500</v>
      </c>
      <c r="F4" t="str">
        <f t="shared" si="0"/>
        <v>Jul</v>
      </c>
      <c r="G4">
        <f t="shared" si="1"/>
        <v>30000</v>
      </c>
    </row>
    <row r="5" spans="1:7" x14ac:dyDescent="0.25">
      <c r="A5" s="1">
        <v>45628</v>
      </c>
      <c r="B5" t="s">
        <v>9</v>
      </c>
      <c r="C5" t="s">
        <v>6</v>
      </c>
      <c r="D5">
        <v>3</v>
      </c>
      <c r="E5">
        <v>2000</v>
      </c>
      <c r="F5" t="str">
        <f t="shared" si="0"/>
        <v>Dec</v>
      </c>
      <c r="G5">
        <f t="shared" si="1"/>
        <v>6000</v>
      </c>
    </row>
    <row r="6" spans="1:7" x14ac:dyDescent="0.25">
      <c r="A6" s="1">
        <v>45638</v>
      </c>
      <c r="B6" t="s">
        <v>10</v>
      </c>
      <c r="C6" t="s">
        <v>6</v>
      </c>
      <c r="D6">
        <v>13</v>
      </c>
      <c r="E6">
        <v>3000</v>
      </c>
      <c r="F6" t="str">
        <f t="shared" si="0"/>
        <v>Dec</v>
      </c>
      <c r="G6">
        <f t="shared" si="1"/>
        <v>39000</v>
      </c>
    </row>
    <row r="7" spans="1:7" x14ac:dyDescent="0.25">
      <c r="A7" s="1">
        <v>45431</v>
      </c>
      <c r="B7" t="s">
        <v>11</v>
      </c>
      <c r="C7" t="s">
        <v>7</v>
      </c>
      <c r="D7">
        <v>11</v>
      </c>
      <c r="E7">
        <v>2500</v>
      </c>
      <c r="F7" t="str">
        <f t="shared" si="0"/>
        <v>May</v>
      </c>
      <c r="G7">
        <f t="shared" si="1"/>
        <v>27500</v>
      </c>
    </row>
    <row r="8" spans="1:7" x14ac:dyDescent="0.25">
      <c r="A8" s="1">
        <v>45605</v>
      </c>
      <c r="B8" t="s">
        <v>11</v>
      </c>
      <c r="C8" t="s">
        <v>6</v>
      </c>
      <c r="D8">
        <v>11</v>
      </c>
      <c r="E8">
        <v>1500</v>
      </c>
      <c r="F8" t="str">
        <f t="shared" si="0"/>
        <v>Nov</v>
      </c>
      <c r="G8">
        <f t="shared" si="1"/>
        <v>16500</v>
      </c>
    </row>
    <row r="9" spans="1:7" x14ac:dyDescent="0.25">
      <c r="A9" s="1">
        <v>45514</v>
      </c>
      <c r="B9" t="s">
        <v>12</v>
      </c>
      <c r="C9" t="s">
        <v>13</v>
      </c>
      <c r="D9">
        <v>16</v>
      </c>
      <c r="E9">
        <v>3500</v>
      </c>
      <c r="F9" t="str">
        <f t="shared" si="0"/>
        <v>Aug</v>
      </c>
      <c r="G9">
        <f t="shared" si="1"/>
        <v>56000</v>
      </c>
    </row>
    <row r="10" spans="1:7" x14ac:dyDescent="0.25">
      <c r="A10" s="1">
        <v>45471</v>
      </c>
      <c r="B10" t="s">
        <v>11</v>
      </c>
      <c r="C10" t="s">
        <v>6</v>
      </c>
      <c r="D10">
        <v>13</v>
      </c>
      <c r="E10">
        <v>3500</v>
      </c>
      <c r="F10" t="str">
        <f t="shared" si="0"/>
        <v>Jun</v>
      </c>
      <c r="G10">
        <f t="shared" si="1"/>
        <v>45500</v>
      </c>
    </row>
    <row r="11" spans="1:7" x14ac:dyDescent="0.25">
      <c r="A11" s="1">
        <v>45364</v>
      </c>
      <c r="B11" t="s">
        <v>5</v>
      </c>
      <c r="C11" t="s">
        <v>7</v>
      </c>
      <c r="D11">
        <v>13</v>
      </c>
      <c r="E11">
        <v>2000</v>
      </c>
      <c r="F11" t="str">
        <f t="shared" si="0"/>
        <v>Mar</v>
      </c>
      <c r="G11">
        <f t="shared" si="1"/>
        <v>26000</v>
      </c>
    </row>
    <row r="12" spans="1:7" x14ac:dyDescent="0.25">
      <c r="A12" s="1">
        <v>45380</v>
      </c>
      <c r="B12" t="s">
        <v>8</v>
      </c>
      <c r="C12" t="s">
        <v>6</v>
      </c>
      <c r="D12">
        <v>19</v>
      </c>
      <c r="E12">
        <v>3000</v>
      </c>
      <c r="F12" t="str">
        <f t="shared" si="0"/>
        <v>Mar</v>
      </c>
      <c r="G12">
        <f t="shared" si="1"/>
        <v>57000</v>
      </c>
    </row>
    <row r="13" spans="1:7" x14ac:dyDescent="0.25">
      <c r="A13" s="1">
        <v>45593</v>
      </c>
      <c r="B13" t="s">
        <v>9</v>
      </c>
      <c r="C13" t="s">
        <v>13</v>
      </c>
      <c r="D13">
        <v>18</v>
      </c>
      <c r="E13">
        <v>2000</v>
      </c>
      <c r="F13" t="str">
        <f t="shared" si="0"/>
        <v>Oct</v>
      </c>
      <c r="G13">
        <f t="shared" si="1"/>
        <v>36000</v>
      </c>
    </row>
    <row r="14" spans="1:7" x14ac:dyDescent="0.25">
      <c r="A14" s="1">
        <v>45560</v>
      </c>
      <c r="B14" t="s">
        <v>5</v>
      </c>
      <c r="C14" t="s">
        <v>6</v>
      </c>
      <c r="D14">
        <v>17</v>
      </c>
      <c r="E14">
        <v>2000</v>
      </c>
      <c r="F14" t="str">
        <f t="shared" si="0"/>
        <v>Sep</v>
      </c>
      <c r="G14">
        <f t="shared" si="1"/>
        <v>34000</v>
      </c>
    </row>
    <row r="15" spans="1:7" x14ac:dyDescent="0.25">
      <c r="A15" s="1">
        <v>45617</v>
      </c>
      <c r="B15" t="s">
        <v>11</v>
      </c>
      <c r="C15" t="s">
        <v>13</v>
      </c>
      <c r="D15">
        <v>20</v>
      </c>
      <c r="E15">
        <v>1500</v>
      </c>
      <c r="F15" t="str">
        <f t="shared" si="0"/>
        <v>Nov</v>
      </c>
      <c r="G15">
        <f t="shared" si="1"/>
        <v>30000</v>
      </c>
    </row>
    <row r="16" spans="1:7" x14ac:dyDescent="0.25">
      <c r="A16" s="1">
        <v>45315</v>
      </c>
      <c r="B16" t="s">
        <v>9</v>
      </c>
      <c r="C16" t="s">
        <v>6</v>
      </c>
      <c r="D16">
        <v>18</v>
      </c>
      <c r="E16">
        <v>3000</v>
      </c>
      <c r="F16" t="str">
        <f t="shared" si="0"/>
        <v>Jan</v>
      </c>
      <c r="G16">
        <f t="shared" si="1"/>
        <v>54000</v>
      </c>
    </row>
    <row r="17" spans="1:7" x14ac:dyDescent="0.25">
      <c r="A17" s="1">
        <v>45323</v>
      </c>
      <c r="B17" t="s">
        <v>12</v>
      </c>
      <c r="C17" t="s">
        <v>13</v>
      </c>
      <c r="D17">
        <v>18</v>
      </c>
      <c r="E17">
        <v>3000</v>
      </c>
      <c r="F17" t="str">
        <f t="shared" si="0"/>
        <v>Feb</v>
      </c>
      <c r="G17">
        <f t="shared" si="1"/>
        <v>54000</v>
      </c>
    </row>
    <row r="18" spans="1:7" x14ac:dyDescent="0.25">
      <c r="A18" s="1">
        <v>45395</v>
      </c>
      <c r="B18" t="s">
        <v>14</v>
      </c>
      <c r="C18" t="s">
        <v>15</v>
      </c>
      <c r="D18">
        <v>17</v>
      </c>
      <c r="E18">
        <v>4000</v>
      </c>
      <c r="F18" t="str">
        <f t="shared" si="0"/>
        <v>Apr</v>
      </c>
      <c r="G18">
        <f t="shared" si="1"/>
        <v>68000</v>
      </c>
    </row>
    <row r="19" spans="1:7" x14ac:dyDescent="0.25">
      <c r="A19" s="1">
        <v>45471</v>
      </c>
      <c r="B19" t="s">
        <v>12</v>
      </c>
      <c r="C19" t="s">
        <v>6</v>
      </c>
      <c r="D19">
        <v>17</v>
      </c>
      <c r="E19">
        <v>2500</v>
      </c>
      <c r="F19" t="str">
        <f t="shared" si="0"/>
        <v>Jun</v>
      </c>
      <c r="G19">
        <f t="shared" si="1"/>
        <v>42500</v>
      </c>
    </row>
    <row r="20" spans="1:7" x14ac:dyDescent="0.25">
      <c r="A20" s="1">
        <v>45648</v>
      </c>
      <c r="B20" t="s">
        <v>11</v>
      </c>
      <c r="C20" t="s">
        <v>6</v>
      </c>
      <c r="D20">
        <v>9</v>
      </c>
      <c r="E20">
        <v>2500</v>
      </c>
      <c r="F20" t="str">
        <f t="shared" si="0"/>
        <v>Dec</v>
      </c>
      <c r="G20">
        <f t="shared" si="1"/>
        <v>22500</v>
      </c>
    </row>
    <row r="21" spans="1:7" x14ac:dyDescent="0.25">
      <c r="A21" s="1">
        <v>45472</v>
      </c>
      <c r="B21" t="s">
        <v>11</v>
      </c>
      <c r="C21" t="s">
        <v>6</v>
      </c>
      <c r="D21">
        <v>9</v>
      </c>
      <c r="E21">
        <v>2000</v>
      </c>
      <c r="F21" t="str">
        <f t="shared" si="0"/>
        <v>Jun</v>
      </c>
      <c r="G21">
        <f t="shared" si="1"/>
        <v>18000</v>
      </c>
    </row>
    <row r="22" spans="1:7" x14ac:dyDescent="0.25">
      <c r="A22" s="1">
        <v>45400</v>
      </c>
      <c r="B22" t="s">
        <v>8</v>
      </c>
      <c r="C22" t="s">
        <v>6</v>
      </c>
      <c r="D22">
        <v>2</v>
      </c>
      <c r="E22">
        <v>3500</v>
      </c>
      <c r="F22" t="str">
        <f t="shared" si="0"/>
        <v>Apr</v>
      </c>
      <c r="G22">
        <f t="shared" si="1"/>
        <v>7000</v>
      </c>
    </row>
    <row r="23" spans="1:7" x14ac:dyDescent="0.25">
      <c r="A23" s="1">
        <v>45596</v>
      </c>
      <c r="B23" t="s">
        <v>8</v>
      </c>
      <c r="C23" t="s">
        <v>15</v>
      </c>
      <c r="D23">
        <v>17</v>
      </c>
      <c r="E23">
        <v>4000</v>
      </c>
      <c r="F23" t="str">
        <f t="shared" si="0"/>
        <v>Oct</v>
      </c>
      <c r="G23">
        <f t="shared" si="1"/>
        <v>68000</v>
      </c>
    </row>
    <row r="24" spans="1:7" x14ac:dyDescent="0.25">
      <c r="A24" s="1">
        <v>45521</v>
      </c>
      <c r="B24" t="s">
        <v>8</v>
      </c>
      <c r="C24" t="s">
        <v>6</v>
      </c>
      <c r="D24">
        <v>15</v>
      </c>
      <c r="E24">
        <v>3000</v>
      </c>
      <c r="F24" t="str">
        <f t="shared" si="0"/>
        <v>Aug</v>
      </c>
      <c r="G24">
        <f t="shared" si="1"/>
        <v>45000</v>
      </c>
    </row>
    <row r="25" spans="1:7" x14ac:dyDescent="0.25">
      <c r="A25" s="1">
        <v>45352</v>
      </c>
      <c r="B25" t="s">
        <v>5</v>
      </c>
      <c r="C25" t="s">
        <v>7</v>
      </c>
      <c r="D25">
        <v>19</v>
      </c>
      <c r="E25">
        <v>3000</v>
      </c>
      <c r="F25" t="str">
        <f t="shared" si="0"/>
        <v>Mar</v>
      </c>
      <c r="G25">
        <f t="shared" si="1"/>
        <v>57000</v>
      </c>
    </row>
    <row r="26" spans="1:7" x14ac:dyDescent="0.25">
      <c r="A26" s="1">
        <v>45337</v>
      </c>
      <c r="B26" t="s">
        <v>9</v>
      </c>
      <c r="C26" t="s">
        <v>7</v>
      </c>
      <c r="D26">
        <v>15</v>
      </c>
      <c r="E26">
        <v>4000</v>
      </c>
      <c r="F26" t="str">
        <f t="shared" si="0"/>
        <v>Feb</v>
      </c>
      <c r="G26">
        <f t="shared" si="1"/>
        <v>60000</v>
      </c>
    </row>
    <row r="27" spans="1:7" x14ac:dyDescent="0.25">
      <c r="A27" s="1">
        <v>45300</v>
      </c>
      <c r="B27" t="s">
        <v>12</v>
      </c>
      <c r="C27" t="s">
        <v>6</v>
      </c>
      <c r="D27">
        <v>17</v>
      </c>
      <c r="E27">
        <v>2000</v>
      </c>
      <c r="F27" t="str">
        <f t="shared" si="0"/>
        <v>Jan</v>
      </c>
      <c r="G27">
        <f t="shared" si="1"/>
        <v>34000</v>
      </c>
    </row>
    <row r="28" spans="1:7" x14ac:dyDescent="0.25">
      <c r="A28" s="1">
        <v>45442</v>
      </c>
      <c r="B28" t="s">
        <v>5</v>
      </c>
      <c r="C28" t="s">
        <v>6</v>
      </c>
      <c r="D28">
        <v>15</v>
      </c>
      <c r="E28">
        <v>2000</v>
      </c>
      <c r="F28" t="str">
        <f t="shared" si="0"/>
        <v>May</v>
      </c>
      <c r="G28">
        <f t="shared" si="1"/>
        <v>30000</v>
      </c>
    </row>
    <row r="29" spans="1:7" x14ac:dyDescent="0.25">
      <c r="A29" s="1">
        <v>45632</v>
      </c>
      <c r="B29" t="s">
        <v>5</v>
      </c>
      <c r="C29" t="s">
        <v>15</v>
      </c>
      <c r="D29">
        <v>6</v>
      </c>
      <c r="E29">
        <v>3500</v>
      </c>
      <c r="F29" t="str">
        <f>TEXT(A29,"MMM")</f>
        <v>Dec</v>
      </c>
      <c r="G29">
        <f t="shared" si="1"/>
        <v>21000</v>
      </c>
    </row>
    <row r="30" spans="1:7" x14ac:dyDescent="0.25">
      <c r="A30" s="1">
        <v>45349</v>
      </c>
      <c r="B30" t="s">
        <v>8</v>
      </c>
      <c r="C30" t="s">
        <v>7</v>
      </c>
      <c r="D30">
        <v>19</v>
      </c>
      <c r="E30">
        <v>2500</v>
      </c>
      <c r="F30" t="str">
        <f t="shared" si="0"/>
        <v>Feb</v>
      </c>
      <c r="G30">
        <f t="shared" si="1"/>
        <v>47500</v>
      </c>
    </row>
    <row r="31" spans="1:7" x14ac:dyDescent="0.25">
      <c r="A31" s="1">
        <v>45400</v>
      </c>
      <c r="B31" t="s">
        <v>11</v>
      </c>
      <c r="C31" t="s">
        <v>6</v>
      </c>
      <c r="D31">
        <v>7</v>
      </c>
      <c r="E31">
        <v>3500</v>
      </c>
      <c r="F31" t="str">
        <f t="shared" si="0"/>
        <v>Apr</v>
      </c>
      <c r="G31">
        <f t="shared" si="1"/>
        <v>24500</v>
      </c>
    </row>
    <row r="32" spans="1:7" x14ac:dyDescent="0.25">
      <c r="A32" s="1">
        <v>45599</v>
      </c>
      <c r="B32" t="s">
        <v>9</v>
      </c>
      <c r="C32" t="s">
        <v>7</v>
      </c>
      <c r="D32">
        <v>5</v>
      </c>
      <c r="E32">
        <v>2500</v>
      </c>
      <c r="F32" t="str">
        <f t="shared" si="0"/>
        <v>Nov</v>
      </c>
      <c r="G32">
        <f t="shared" si="1"/>
        <v>12500</v>
      </c>
    </row>
    <row r="33" spans="1:7" x14ac:dyDescent="0.25">
      <c r="A33" s="1">
        <v>45516</v>
      </c>
      <c r="B33" t="s">
        <v>5</v>
      </c>
      <c r="C33" t="s">
        <v>13</v>
      </c>
      <c r="D33">
        <v>18</v>
      </c>
      <c r="E33">
        <v>1500</v>
      </c>
      <c r="F33" t="str">
        <f t="shared" si="0"/>
        <v>Aug</v>
      </c>
      <c r="G33">
        <f t="shared" si="1"/>
        <v>27000</v>
      </c>
    </row>
    <row r="34" spans="1:7" x14ac:dyDescent="0.25">
      <c r="A34" s="1">
        <v>45608</v>
      </c>
      <c r="B34" t="s">
        <v>12</v>
      </c>
      <c r="C34" t="s">
        <v>15</v>
      </c>
      <c r="D34">
        <v>17</v>
      </c>
      <c r="E34">
        <v>4000</v>
      </c>
      <c r="F34" t="str">
        <f t="shared" si="0"/>
        <v>Nov</v>
      </c>
      <c r="G34">
        <f t="shared" si="1"/>
        <v>68000</v>
      </c>
    </row>
    <row r="35" spans="1:7" x14ac:dyDescent="0.25">
      <c r="A35" s="1">
        <v>45384</v>
      </c>
      <c r="B35" t="s">
        <v>5</v>
      </c>
      <c r="C35" t="s">
        <v>13</v>
      </c>
      <c r="D35">
        <v>9</v>
      </c>
      <c r="E35">
        <v>2500</v>
      </c>
      <c r="F35" t="str">
        <f t="shared" si="0"/>
        <v>Apr</v>
      </c>
      <c r="G35">
        <f t="shared" si="1"/>
        <v>22500</v>
      </c>
    </row>
    <row r="36" spans="1:7" x14ac:dyDescent="0.25">
      <c r="A36" s="1">
        <v>45414</v>
      </c>
      <c r="B36" t="s">
        <v>10</v>
      </c>
      <c r="C36" t="s">
        <v>6</v>
      </c>
      <c r="D36">
        <v>2</v>
      </c>
      <c r="E36">
        <v>3000</v>
      </c>
      <c r="F36" t="str">
        <f t="shared" si="0"/>
        <v>May</v>
      </c>
      <c r="G36">
        <f t="shared" si="1"/>
        <v>6000</v>
      </c>
    </row>
    <row r="37" spans="1:7" x14ac:dyDescent="0.25">
      <c r="A37" s="1">
        <v>45507</v>
      </c>
      <c r="B37" t="s">
        <v>14</v>
      </c>
      <c r="C37" t="s">
        <v>6</v>
      </c>
      <c r="D37">
        <v>8</v>
      </c>
      <c r="E37">
        <v>3500</v>
      </c>
      <c r="F37" t="str">
        <f t="shared" si="0"/>
        <v>Aug</v>
      </c>
      <c r="G37">
        <f t="shared" si="1"/>
        <v>28000</v>
      </c>
    </row>
    <row r="38" spans="1:7" x14ac:dyDescent="0.25">
      <c r="A38" s="1">
        <v>45543</v>
      </c>
      <c r="B38" t="s">
        <v>10</v>
      </c>
      <c r="C38" t="s">
        <v>15</v>
      </c>
      <c r="D38">
        <v>2</v>
      </c>
      <c r="E38">
        <v>2000</v>
      </c>
      <c r="F38" t="str">
        <f t="shared" si="0"/>
        <v>Sep</v>
      </c>
      <c r="G38">
        <f t="shared" si="1"/>
        <v>4000</v>
      </c>
    </row>
    <row r="39" spans="1:7" x14ac:dyDescent="0.25">
      <c r="A39" s="1">
        <v>45308</v>
      </c>
      <c r="B39" t="s">
        <v>5</v>
      </c>
      <c r="C39" t="s">
        <v>15</v>
      </c>
      <c r="D39">
        <v>12</v>
      </c>
      <c r="E39">
        <v>4000</v>
      </c>
      <c r="F39" t="str">
        <f t="shared" si="0"/>
        <v>Jan</v>
      </c>
      <c r="G39">
        <f t="shared" si="1"/>
        <v>48000</v>
      </c>
    </row>
    <row r="40" spans="1:7" x14ac:dyDescent="0.25">
      <c r="A40" s="1">
        <v>45510</v>
      </c>
      <c r="B40" t="s">
        <v>11</v>
      </c>
      <c r="C40" t="s">
        <v>7</v>
      </c>
      <c r="D40">
        <v>11</v>
      </c>
      <c r="E40">
        <v>3000</v>
      </c>
      <c r="F40" t="str">
        <f t="shared" si="0"/>
        <v>Aug</v>
      </c>
      <c r="G40">
        <f t="shared" si="1"/>
        <v>33000</v>
      </c>
    </row>
    <row r="41" spans="1:7" x14ac:dyDescent="0.25">
      <c r="A41" s="1">
        <v>45319</v>
      </c>
      <c r="B41" t="s">
        <v>5</v>
      </c>
      <c r="C41" t="s">
        <v>13</v>
      </c>
      <c r="D41">
        <v>13</v>
      </c>
      <c r="E41">
        <v>3500</v>
      </c>
      <c r="F41" t="str">
        <f t="shared" si="0"/>
        <v>Jan</v>
      </c>
      <c r="G41">
        <f t="shared" si="1"/>
        <v>45500</v>
      </c>
    </row>
    <row r="42" spans="1:7" x14ac:dyDescent="0.25">
      <c r="A42" s="1">
        <v>45343</v>
      </c>
      <c r="B42" t="s">
        <v>11</v>
      </c>
      <c r="C42" t="s">
        <v>15</v>
      </c>
      <c r="D42">
        <v>3</v>
      </c>
      <c r="E42">
        <v>3000</v>
      </c>
      <c r="F42" t="str">
        <f t="shared" si="0"/>
        <v>Feb</v>
      </c>
      <c r="G42">
        <f t="shared" si="1"/>
        <v>9000</v>
      </c>
    </row>
    <row r="43" spans="1:7" x14ac:dyDescent="0.25">
      <c r="A43" s="1">
        <v>45442</v>
      </c>
      <c r="B43" t="s">
        <v>14</v>
      </c>
      <c r="C43" t="s">
        <v>15</v>
      </c>
      <c r="D43">
        <v>9</v>
      </c>
      <c r="E43">
        <v>2000</v>
      </c>
      <c r="F43" t="str">
        <f t="shared" si="0"/>
        <v>May</v>
      </c>
      <c r="G43">
        <f t="shared" si="1"/>
        <v>18000</v>
      </c>
    </row>
    <row r="44" spans="1:7" x14ac:dyDescent="0.25">
      <c r="A44" s="1">
        <v>45476</v>
      </c>
      <c r="B44" t="s">
        <v>12</v>
      </c>
      <c r="C44" t="s">
        <v>15</v>
      </c>
      <c r="D44">
        <v>19</v>
      </c>
      <c r="E44">
        <v>1500</v>
      </c>
      <c r="F44" t="str">
        <f>TEXT(A44,"MMM")</f>
        <v>Jul</v>
      </c>
      <c r="G44">
        <f t="shared" si="1"/>
        <v>28500</v>
      </c>
    </row>
    <row r="45" spans="1:7" x14ac:dyDescent="0.25">
      <c r="A45" s="1">
        <v>45612</v>
      </c>
      <c r="B45" t="s">
        <v>12</v>
      </c>
      <c r="C45" t="s">
        <v>15</v>
      </c>
      <c r="D45">
        <v>2</v>
      </c>
      <c r="E45">
        <v>4000</v>
      </c>
      <c r="F45" t="str">
        <f t="shared" si="0"/>
        <v>Nov</v>
      </c>
      <c r="G45">
        <f t="shared" si="1"/>
        <v>8000</v>
      </c>
    </row>
    <row r="46" spans="1:7" x14ac:dyDescent="0.25">
      <c r="A46" s="1">
        <v>45485</v>
      </c>
      <c r="B46" t="s">
        <v>9</v>
      </c>
      <c r="C46" t="s">
        <v>15</v>
      </c>
      <c r="D46">
        <v>14</v>
      </c>
      <c r="E46">
        <v>4000</v>
      </c>
      <c r="F46" t="str">
        <f t="shared" si="0"/>
        <v>Jul</v>
      </c>
      <c r="G46">
        <f t="shared" si="1"/>
        <v>56000</v>
      </c>
    </row>
    <row r="47" spans="1:7" x14ac:dyDescent="0.25">
      <c r="A47" s="1">
        <v>45598</v>
      </c>
      <c r="B47" t="s">
        <v>8</v>
      </c>
      <c r="C47" t="s">
        <v>6</v>
      </c>
      <c r="D47">
        <v>12</v>
      </c>
      <c r="E47">
        <v>2500</v>
      </c>
      <c r="F47" t="str">
        <f t="shared" si="0"/>
        <v>Nov</v>
      </c>
      <c r="G47">
        <f t="shared" si="1"/>
        <v>30000</v>
      </c>
    </row>
    <row r="48" spans="1:7" x14ac:dyDescent="0.25">
      <c r="A48" s="1">
        <v>45609</v>
      </c>
      <c r="B48" t="s">
        <v>10</v>
      </c>
      <c r="C48" t="s">
        <v>6</v>
      </c>
      <c r="D48">
        <v>7</v>
      </c>
      <c r="E48">
        <v>4000</v>
      </c>
      <c r="F48" t="str">
        <f t="shared" si="0"/>
        <v>Nov</v>
      </c>
      <c r="G48">
        <f t="shared" si="1"/>
        <v>28000</v>
      </c>
    </row>
    <row r="49" spans="1:7" x14ac:dyDescent="0.25">
      <c r="A49" s="1">
        <v>45393</v>
      </c>
      <c r="B49" t="s">
        <v>10</v>
      </c>
      <c r="C49" t="s">
        <v>13</v>
      </c>
      <c r="D49">
        <v>14</v>
      </c>
      <c r="E49">
        <v>4000</v>
      </c>
      <c r="F49" t="str">
        <f t="shared" si="0"/>
        <v>Apr</v>
      </c>
      <c r="G49">
        <f t="shared" si="1"/>
        <v>56000</v>
      </c>
    </row>
    <row r="50" spans="1:7" x14ac:dyDescent="0.25">
      <c r="A50" s="1">
        <v>45471</v>
      </c>
      <c r="B50" t="s">
        <v>8</v>
      </c>
      <c r="C50" t="s">
        <v>15</v>
      </c>
      <c r="D50">
        <v>4</v>
      </c>
      <c r="E50">
        <v>2500</v>
      </c>
      <c r="F50" t="str">
        <f t="shared" si="0"/>
        <v>Jun</v>
      </c>
      <c r="G50">
        <f t="shared" si="1"/>
        <v>10000</v>
      </c>
    </row>
    <row r="51" spans="1:7" x14ac:dyDescent="0.25">
      <c r="A51" s="1">
        <v>45552</v>
      </c>
      <c r="B51" t="s">
        <v>14</v>
      </c>
      <c r="C51" t="s">
        <v>6</v>
      </c>
      <c r="D51">
        <v>4</v>
      </c>
      <c r="E51">
        <v>4000</v>
      </c>
      <c r="F51" t="str">
        <f t="shared" si="0"/>
        <v>Sep</v>
      </c>
      <c r="G51">
        <f t="shared" si="1"/>
        <v>16000</v>
      </c>
    </row>
    <row r="52" spans="1:7" x14ac:dyDescent="0.25">
      <c r="A52" s="1">
        <v>45324</v>
      </c>
      <c r="B52" t="s">
        <v>11</v>
      </c>
      <c r="C52" t="s">
        <v>15</v>
      </c>
      <c r="D52">
        <v>20</v>
      </c>
      <c r="E52">
        <v>2500</v>
      </c>
      <c r="F52" t="str">
        <f t="shared" si="0"/>
        <v>Feb</v>
      </c>
      <c r="G52">
        <f t="shared" si="1"/>
        <v>50000</v>
      </c>
    </row>
    <row r="53" spans="1:7" x14ac:dyDescent="0.25">
      <c r="A53" s="1">
        <v>45415</v>
      </c>
      <c r="B53" t="s">
        <v>14</v>
      </c>
      <c r="C53" t="s">
        <v>6</v>
      </c>
      <c r="D53">
        <v>11</v>
      </c>
      <c r="E53">
        <v>1500</v>
      </c>
      <c r="F53" t="str">
        <f t="shared" si="0"/>
        <v>May</v>
      </c>
      <c r="G53">
        <f t="shared" si="1"/>
        <v>16500</v>
      </c>
    </row>
    <row r="54" spans="1:7" x14ac:dyDescent="0.25">
      <c r="A54" s="1">
        <v>45403</v>
      </c>
      <c r="B54" t="s">
        <v>12</v>
      </c>
      <c r="C54" t="s">
        <v>13</v>
      </c>
      <c r="D54">
        <v>15</v>
      </c>
      <c r="E54">
        <v>3500</v>
      </c>
      <c r="F54" t="str">
        <f t="shared" si="0"/>
        <v>Apr</v>
      </c>
      <c r="G54">
        <f t="shared" si="1"/>
        <v>52500</v>
      </c>
    </row>
    <row r="55" spans="1:7" x14ac:dyDescent="0.25">
      <c r="A55" s="1">
        <v>45458</v>
      </c>
      <c r="B55" t="s">
        <v>10</v>
      </c>
      <c r="C55" t="s">
        <v>6</v>
      </c>
      <c r="D55">
        <v>13</v>
      </c>
      <c r="E55">
        <v>2000</v>
      </c>
      <c r="F55" t="str">
        <f t="shared" si="0"/>
        <v>Jun</v>
      </c>
      <c r="G55">
        <f t="shared" si="1"/>
        <v>26000</v>
      </c>
    </row>
    <row r="56" spans="1:7" x14ac:dyDescent="0.25">
      <c r="A56" s="1">
        <v>45443</v>
      </c>
      <c r="B56" t="s">
        <v>11</v>
      </c>
      <c r="C56" t="s">
        <v>15</v>
      </c>
      <c r="D56">
        <v>5</v>
      </c>
      <c r="E56">
        <v>2000</v>
      </c>
      <c r="F56" t="str">
        <f t="shared" si="0"/>
        <v>May</v>
      </c>
      <c r="G56">
        <f t="shared" si="1"/>
        <v>10000</v>
      </c>
    </row>
    <row r="57" spans="1:7" x14ac:dyDescent="0.25">
      <c r="A57" s="1">
        <v>45451</v>
      </c>
      <c r="B57" t="s">
        <v>14</v>
      </c>
      <c r="C57" t="s">
        <v>13</v>
      </c>
      <c r="D57">
        <v>19</v>
      </c>
      <c r="E57">
        <v>1500</v>
      </c>
      <c r="F57" t="str">
        <f t="shared" si="0"/>
        <v>Jun</v>
      </c>
      <c r="G57">
        <f t="shared" si="1"/>
        <v>28500</v>
      </c>
    </row>
    <row r="58" spans="1:7" x14ac:dyDescent="0.25">
      <c r="A58" s="1">
        <v>45294</v>
      </c>
      <c r="B58" t="s">
        <v>14</v>
      </c>
      <c r="C58" t="s">
        <v>7</v>
      </c>
      <c r="D58">
        <v>7</v>
      </c>
      <c r="E58">
        <v>3000</v>
      </c>
      <c r="F58" t="str">
        <f t="shared" si="0"/>
        <v>Jan</v>
      </c>
      <c r="G58">
        <f t="shared" si="1"/>
        <v>21000</v>
      </c>
    </row>
    <row r="59" spans="1:7" x14ac:dyDescent="0.25">
      <c r="A59" s="1">
        <v>45386</v>
      </c>
      <c r="B59" t="s">
        <v>12</v>
      </c>
      <c r="C59" t="s">
        <v>13</v>
      </c>
      <c r="D59">
        <v>17</v>
      </c>
      <c r="E59">
        <v>3000</v>
      </c>
      <c r="F59" t="str">
        <f t="shared" si="0"/>
        <v>Apr</v>
      </c>
      <c r="G59">
        <f t="shared" si="1"/>
        <v>51000</v>
      </c>
    </row>
    <row r="60" spans="1:7" x14ac:dyDescent="0.25">
      <c r="A60" s="1">
        <v>45641</v>
      </c>
      <c r="B60" t="s">
        <v>11</v>
      </c>
      <c r="C60" t="s">
        <v>13</v>
      </c>
      <c r="D60">
        <v>10</v>
      </c>
      <c r="E60">
        <v>3000</v>
      </c>
      <c r="F60" t="str">
        <f t="shared" si="0"/>
        <v>Dec</v>
      </c>
      <c r="G60">
        <f t="shared" si="1"/>
        <v>30000</v>
      </c>
    </row>
    <row r="61" spans="1:7" x14ac:dyDescent="0.25">
      <c r="A61" s="1">
        <v>45490</v>
      </c>
      <c r="B61" t="s">
        <v>9</v>
      </c>
      <c r="C61" t="s">
        <v>15</v>
      </c>
      <c r="D61">
        <v>18</v>
      </c>
      <c r="E61">
        <v>1500</v>
      </c>
      <c r="F61" t="str">
        <f t="shared" si="0"/>
        <v>Jul</v>
      </c>
      <c r="G61">
        <f t="shared" si="1"/>
        <v>27000</v>
      </c>
    </row>
    <row r="62" spans="1:7" x14ac:dyDescent="0.25">
      <c r="A62" s="1">
        <v>45498</v>
      </c>
      <c r="B62" t="s">
        <v>14</v>
      </c>
      <c r="C62" t="s">
        <v>13</v>
      </c>
      <c r="D62">
        <v>12</v>
      </c>
      <c r="E62">
        <v>3000</v>
      </c>
      <c r="F62" t="str">
        <f t="shared" si="0"/>
        <v>Jul</v>
      </c>
      <c r="G62">
        <f t="shared" si="1"/>
        <v>36000</v>
      </c>
    </row>
    <row r="63" spans="1:7" x14ac:dyDescent="0.25">
      <c r="A63" s="1">
        <v>45425</v>
      </c>
      <c r="B63" t="s">
        <v>10</v>
      </c>
      <c r="C63" t="s">
        <v>7</v>
      </c>
      <c r="D63">
        <v>7</v>
      </c>
      <c r="E63">
        <v>3000</v>
      </c>
      <c r="F63" t="str">
        <f t="shared" si="0"/>
        <v>May</v>
      </c>
      <c r="G63">
        <f t="shared" si="1"/>
        <v>21000</v>
      </c>
    </row>
    <row r="64" spans="1:7" x14ac:dyDescent="0.25">
      <c r="A64" s="1">
        <v>45357</v>
      </c>
      <c r="B64" t="s">
        <v>5</v>
      </c>
      <c r="C64" t="s">
        <v>13</v>
      </c>
      <c r="D64">
        <v>2</v>
      </c>
      <c r="E64">
        <v>2000</v>
      </c>
      <c r="F64" t="str">
        <f t="shared" si="0"/>
        <v>Mar</v>
      </c>
      <c r="G64">
        <f t="shared" si="1"/>
        <v>4000</v>
      </c>
    </row>
    <row r="65" spans="1:7" x14ac:dyDescent="0.25">
      <c r="A65" s="1">
        <v>45292</v>
      </c>
      <c r="B65" t="s">
        <v>12</v>
      </c>
      <c r="C65" t="s">
        <v>13</v>
      </c>
      <c r="D65">
        <v>4</v>
      </c>
      <c r="E65">
        <v>4000</v>
      </c>
      <c r="F65" t="str">
        <f t="shared" si="0"/>
        <v>Jan</v>
      </c>
      <c r="G65">
        <f t="shared" si="1"/>
        <v>16000</v>
      </c>
    </row>
    <row r="66" spans="1:7" x14ac:dyDescent="0.25">
      <c r="A66" s="1">
        <v>45312</v>
      </c>
      <c r="B66" t="s">
        <v>8</v>
      </c>
      <c r="C66" t="s">
        <v>7</v>
      </c>
      <c r="D66">
        <v>5</v>
      </c>
      <c r="E66">
        <v>2000</v>
      </c>
      <c r="F66" t="str">
        <f t="shared" si="0"/>
        <v>Jan</v>
      </c>
      <c r="G66">
        <f t="shared" si="1"/>
        <v>10000</v>
      </c>
    </row>
    <row r="67" spans="1:7" x14ac:dyDescent="0.25">
      <c r="A67" s="1">
        <v>45472</v>
      </c>
      <c r="B67" t="s">
        <v>11</v>
      </c>
      <c r="C67" t="s">
        <v>7</v>
      </c>
      <c r="D67">
        <v>6</v>
      </c>
      <c r="E67">
        <v>2000</v>
      </c>
      <c r="F67" t="str">
        <f t="shared" ref="F67:F121" si="2">TEXT(A67,"MMM")</f>
        <v>Jun</v>
      </c>
      <c r="G67">
        <f t="shared" ref="G67:G121" si="3">D67*E67</f>
        <v>12000</v>
      </c>
    </row>
    <row r="68" spans="1:7" x14ac:dyDescent="0.25">
      <c r="A68" s="1">
        <v>45603</v>
      </c>
      <c r="B68" t="s">
        <v>5</v>
      </c>
      <c r="C68" t="s">
        <v>7</v>
      </c>
      <c r="D68">
        <v>2</v>
      </c>
      <c r="E68">
        <v>1500</v>
      </c>
      <c r="F68" t="str">
        <f t="shared" si="2"/>
        <v>Nov</v>
      </c>
      <c r="G68">
        <f t="shared" si="3"/>
        <v>3000</v>
      </c>
    </row>
    <row r="69" spans="1:7" x14ac:dyDescent="0.25">
      <c r="A69" s="1">
        <v>45388</v>
      </c>
      <c r="B69" t="s">
        <v>5</v>
      </c>
      <c r="C69" t="s">
        <v>7</v>
      </c>
      <c r="D69">
        <v>1</v>
      </c>
      <c r="E69">
        <v>1500</v>
      </c>
      <c r="F69" t="str">
        <f t="shared" si="2"/>
        <v>Apr</v>
      </c>
      <c r="G69">
        <f t="shared" si="3"/>
        <v>1500</v>
      </c>
    </row>
    <row r="70" spans="1:7" x14ac:dyDescent="0.25">
      <c r="A70" s="1">
        <v>45357</v>
      </c>
      <c r="B70" t="s">
        <v>8</v>
      </c>
      <c r="C70" t="s">
        <v>13</v>
      </c>
      <c r="D70">
        <v>5</v>
      </c>
      <c r="E70">
        <v>1500</v>
      </c>
      <c r="F70" t="str">
        <f t="shared" si="2"/>
        <v>Mar</v>
      </c>
      <c r="G70">
        <f t="shared" si="3"/>
        <v>7500</v>
      </c>
    </row>
    <row r="71" spans="1:7" x14ac:dyDescent="0.25">
      <c r="A71" s="1">
        <v>45589</v>
      </c>
      <c r="B71" t="s">
        <v>11</v>
      </c>
      <c r="C71" t="s">
        <v>15</v>
      </c>
      <c r="D71">
        <v>8</v>
      </c>
      <c r="E71">
        <v>4000</v>
      </c>
      <c r="F71" t="str">
        <f t="shared" si="2"/>
        <v>Oct</v>
      </c>
      <c r="G71">
        <f t="shared" si="3"/>
        <v>32000</v>
      </c>
    </row>
    <row r="72" spans="1:7" x14ac:dyDescent="0.25">
      <c r="A72" s="1">
        <v>45311</v>
      </c>
      <c r="B72" t="s">
        <v>9</v>
      </c>
      <c r="C72" t="s">
        <v>6</v>
      </c>
      <c r="D72">
        <v>9</v>
      </c>
      <c r="E72">
        <v>3500</v>
      </c>
      <c r="F72" t="str">
        <f t="shared" si="2"/>
        <v>Jan</v>
      </c>
      <c r="G72">
        <f t="shared" si="3"/>
        <v>31500</v>
      </c>
    </row>
    <row r="73" spans="1:7" x14ac:dyDescent="0.25">
      <c r="A73" s="1">
        <v>45376</v>
      </c>
      <c r="B73" t="s">
        <v>11</v>
      </c>
      <c r="C73" t="s">
        <v>7</v>
      </c>
      <c r="D73">
        <v>8</v>
      </c>
      <c r="E73">
        <v>1500</v>
      </c>
      <c r="F73" t="str">
        <f t="shared" si="2"/>
        <v>Mar</v>
      </c>
      <c r="G73">
        <f t="shared" si="3"/>
        <v>12000</v>
      </c>
    </row>
    <row r="74" spans="1:7" x14ac:dyDescent="0.25">
      <c r="A74" s="1">
        <v>45602</v>
      </c>
      <c r="B74" t="s">
        <v>11</v>
      </c>
      <c r="C74" t="s">
        <v>6</v>
      </c>
      <c r="D74">
        <v>12</v>
      </c>
      <c r="E74">
        <v>2500</v>
      </c>
      <c r="F74" t="str">
        <f t="shared" si="2"/>
        <v>Nov</v>
      </c>
      <c r="G74">
        <f t="shared" si="3"/>
        <v>30000</v>
      </c>
    </row>
    <row r="75" spans="1:7" x14ac:dyDescent="0.25">
      <c r="A75" s="1">
        <v>45503</v>
      </c>
      <c r="B75" t="s">
        <v>11</v>
      </c>
      <c r="C75" t="s">
        <v>6</v>
      </c>
      <c r="D75">
        <v>18</v>
      </c>
      <c r="E75">
        <v>2500</v>
      </c>
      <c r="F75" t="str">
        <f t="shared" si="2"/>
        <v>Jul</v>
      </c>
      <c r="G75">
        <f t="shared" si="3"/>
        <v>45000</v>
      </c>
    </row>
    <row r="76" spans="1:7" x14ac:dyDescent="0.25">
      <c r="A76" s="1">
        <v>45432</v>
      </c>
      <c r="B76" t="s">
        <v>12</v>
      </c>
      <c r="C76" t="s">
        <v>7</v>
      </c>
      <c r="D76">
        <v>7</v>
      </c>
      <c r="E76">
        <v>1500</v>
      </c>
      <c r="F76" t="str">
        <f t="shared" si="2"/>
        <v>May</v>
      </c>
      <c r="G76">
        <f t="shared" si="3"/>
        <v>10500</v>
      </c>
    </row>
    <row r="77" spans="1:7" x14ac:dyDescent="0.25">
      <c r="A77" s="1">
        <v>45483</v>
      </c>
      <c r="B77" t="s">
        <v>10</v>
      </c>
      <c r="C77" t="s">
        <v>6</v>
      </c>
      <c r="D77">
        <v>15</v>
      </c>
      <c r="E77">
        <v>3500</v>
      </c>
      <c r="F77" t="str">
        <f t="shared" si="2"/>
        <v>Jul</v>
      </c>
      <c r="G77">
        <f t="shared" si="3"/>
        <v>52500</v>
      </c>
    </row>
    <row r="78" spans="1:7" x14ac:dyDescent="0.25">
      <c r="A78" s="1">
        <v>45528</v>
      </c>
      <c r="B78" t="s">
        <v>14</v>
      </c>
      <c r="C78" t="s">
        <v>7</v>
      </c>
      <c r="D78">
        <v>12</v>
      </c>
      <c r="E78">
        <v>3000</v>
      </c>
      <c r="F78" t="str">
        <f t="shared" si="2"/>
        <v>Aug</v>
      </c>
      <c r="G78">
        <f t="shared" si="3"/>
        <v>36000</v>
      </c>
    </row>
    <row r="79" spans="1:7" x14ac:dyDescent="0.25">
      <c r="A79" s="1">
        <v>45637</v>
      </c>
      <c r="B79" t="s">
        <v>9</v>
      </c>
      <c r="C79" t="s">
        <v>6</v>
      </c>
      <c r="D79">
        <v>7</v>
      </c>
      <c r="E79">
        <v>3000</v>
      </c>
      <c r="F79" t="str">
        <f t="shared" si="2"/>
        <v>Dec</v>
      </c>
      <c r="G79">
        <f t="shared" si="3"/>
        <v>21000</v>
      </c>
    </row>
    <row r="80" spans="1:7" x14ac:dyDescent="0.25">
      <c r="A80" s="1">
        <v>45513</v>
      </c>
      <c r="B80" t="s">
        <v>12</v>
      </c>
      <c r="C80" t="s">
        <v>7</v>
      </c>
      <c r="D80">
        <v>16</v>
      </c>
      <c r="E80">
        <v>2500</v>
      </c>
      <c r="F80" t="str">
        <f t="shared" si="2"/>
        <v>Aug</v>
      </c>
      <c r="G80">
        <f t="shared" si="3"/>
        <v>40000</v>
      </c>
    </row>
    <row r="81" spans="1:7" x14ac:dyDescent="0.25">
      <c r="A81" s="1">
        <v>45442</v>
      </c>
      <c r="B81" t="s">
        <v>5</v>
      </c>
      <c r="C81" t="s">
        <v>13</v>
      </c>
      <c r="D81">
        <v>12</v>
      </c>
      <c r="E81">
        <v>2000</v>
      </c>
      <c r="F81" t="str">
        <f t="shared" si="2"/>
        <v>May</v>
      </c>
      <c r="G81">
        <f t="shared" si="3"/>
        <v>24000</v>
      </c>
    </row>
    <row r="82" spans="1:7" x14ac:dyDescent="0.25">
      <c r="A82" s="1">
        <v>45585</v>
      </c>
      <c r="B82" t="s">
        <v>9</v>
      </c>
      <c r="C82" t="s">
        <v>6</v>
      </c>
      <c r="D82">
        <v>11</v>
      </c>
      <c r="E82">
        <v>2000</v>
      </c>
      <c r="F82" t="str">
        <f t="shared" si="2"/>
        <v>Oct</v>
      </c>
      <c r="G82">
        <f t="shared" si="3"/>
        <v>22000</v>
      </c>
    </row>
    <row r="83" spans="1:7" x14ac:dyDescent="0.25">
      <c r="A83" s="1">
        <v>45392</v>
      </c>
      <c r="B83" t="s">
        <v>10</v>
      </c>
      <c r="C83" t="s">
        <v>7</v>
      </c>
      <c r="D83">
        <v>16</v>
      </c>
      <c r="E83">
        <v>2000</v>
      </c>
      <c r="F83" t="str">
        <f t="shared" si="2"/>
        <v>Apr</v>
      </c>
      <c r="G83">
        <f t="shared" si="3"/>
        <v>32000</v>
      </c>
    </row>
    <row r="84" spans="1:7" x14ac:dyDescent="0.25">
      <c r="A84" s="1">
        <v>45642</v>
      </c>
      <c r="B84" t="s">
        <v>9</v>
      </c>
      <c r="C84" t="s">
        <v>6</v>
      </c>
      <c r="D84">
        <v>6</v>
      </c>
      <c r="E84">
        <v>3000</v>
      </c>
      <c r="F84" t="str">
        <f t="shared" si="2"/>
        <v>Dec</v>
      </c>
      <c r="G84">
        <f t="shared" si="3"/>
        <v>18000</v>
      </c>
    </row>
    <row r="85" spans="1:7" x14ac:dyDescent="0.25">
      <c r="A85" s="1">
        <v>45422</v>
      </c>
      <c r="B85" t="s">
        <v>9</v>
      </c>
      <c r="C85" t="s">
        <v>6</v>
      </c>
      <c r="D85">
        <v>17</v>
      </c>
      <c r="E85">
        <v>3000</v>
      </c>
      <c r="F85" t="str">
        <f t="shared" si="2"/>
        <v>May</v>
      </c>
      <c r="G85">
        <f t="shared" si="3"/>
        <v>51000</v>
      </c>
    </row>
    <row r="86" spans="1:7" x14ac:dyDescent="0.25">
      <c r="A86" s="1">
        <v>45539</v>
      </c>
      <c r="B86" t="s">
        <v>10</v>
      </c>
      <c r="C86" t="s">
        <v>7</v>
      </c>
      <c r="D86">
        <v>9</v>
      </c>
      <c r="E86">
        <v>4000</v>
      </c>
      <c r="F86" t="str">
        <f t="shared" si="2"/>
        <v>Sep</v>
      </c>
      <c r="G86">
        <f t="shared" si="3"/>
        <v>36000</v>
      </c>
    </row>
    <row r="87" spans="1:7" x14ac:dyDescent="0.25">
      <c r="A87" s="1">
        <v>45314</v>
      </c>
      <c r="B87" t="s">
        <v>8</v>
      </c>
      <c r="C87" t="s">
        <v>15</v>
      </c>
      <c r="D87">
        <v>12</v>
      </c>
      <c r="E87">
        <v>4000</v>
      </c>
      <c r="F87" t="str">
        <f t="shared" si="2"/>
        <v>Jan</v>
      </c>
      <c r="G87">
        <f t="shared" si="3"/>
        <v>48000</v>
      </c>
    </row>
    <row r="88" spans="1:7" x14ac:dyDescent="0.25">
      <c r="A88" s="1">
        <v>45473</v>
      </c>
      <c r="B88" t="s">
        <v>5</v>
      </c>
      <c r="C88" t="s">
        <v>7</v>
      </c>
      <c r="D88">
        <v>8</v>
      </c>
      <c r="E88">
        <v>2000</v>
      </c>
      <c r="F88" t="str">
        <f t="shared" si="2"/>
        <v>Jun</v>
      </c>
      <c r="G88">
        <f t="shared" si="3"/>
        <v>16000</v>
      </c>
    </row>
    <row r="89" spans="1:7" x14ac:dyDescent="0.25">
      <c r="A89" s="1">
        <v>45388</v>
      </c>
      <c r="B89" t="s">
        <v>8</v>
      </c>
      <c r="C89" t="s">
        <v>6</v>
      </c>
      <c r="D89">
        <v>5</v>
      </c>
      <c r="E89">
        <v>2000</v>
      </c>
      <c r="F89" t="str">
        <f t="shared" si="2"/>
        <v>Apr</v>
      </c>
      <c r="G89">
        <f t="shared" si="3"/>
        <v>10000</v>
      </c>
    </row>
    <row r="90" spans="1:7" x14ac:dyDescent="0.25">
      <c r="A90" s="1">
        <v>45342</v>
      </c>
      <c r="B90" t="s">
        <v>11</v>
      </c>
      <c r="C90" t="s">
        <v>6</v>
      </c>
      <c r="D90">
        <v>7</v>
      </c>
      <c r="E90">
        <v>2000</v>
      </c>
      <c r="F90" t="str">
        <f t="shared" si="2"/>
        <v>Feb</v>
      </c>
      <c r="G90">
        <f t="shared" si="3"/>
        <v>14000</v>
      </c>
    </row>
    <row r="91" spans="1:7" x14ac:dyDescent="0.25">
      <c r="A91" s="1">
        <v>45523</v>
      </c>
      <c r="B91" t="s">
        <v>10</v>
      </c>
      <c r="C91" t="s">
        <v>6</v>
      </c>
      <c r="D91">
        <v>14</v>
      </c>
      <c r="E91">
        <v>3500</v>
      </c>
      <c r="F91" t="str">
        <f t="shared" si="2"/>
        <v>Aug</v>
      </c>
      <c r="G91">
        <f t="shared" si="3"/>
        <v>49000</v>
      </c>
    </row>
    <row r="92" spans="1:7" x14ac:dyDescent="0.25">
      <c r="A92" s="1">
        <v>45651</v>
      </c>
      <c r="B92" t="s">
        <v>5</v>
      </c>
      <c r="C92" t="s">
        <v>15</v>
      </c>
      <c r="D92">
        <v>18</v>
      </c>
      <c r="E92">
        <v>2000</v>
      </c>
      <c r="F92" t="str">
        <f t="shared" si="2"/>
        <v>Dec</v>
      </c>
      <c r="G92">
        <f t="shared" si="3"/>
        <v>36000</v>
      </c>
    </row>
    <row r="93" spans="1:7" x14ac:dyDescent="0.25">
      <c r="A93" s="1">
        <v>45441</v>
      </c>
      <c r="B93" t="s">
        <v>10</v>
      </c>
      <c r="C93" t="s">
        <v>6</v>
      </c>
      <c r="D93">
        <v>18</v>
      </c>
      <c r="E93">
        <v>2500</v>
      </c>
      <c r="F93" t="str">
        <f t="shared" si="2"/>
        <v>May</v>
      </c>
      <c r="G93">
        <f t="shared" si="3"/>
        <v>45000</v>
      </c>
    </row>
    <row r="94" spans="1:7" x14ac:dyDescent="0.25">
      <c r="A94" s="1">
        <v>45328</v>
      </c>
      <c r="B94" t="s">
        <v>5</v>
      </c>
      <c r="C94" t="s">
        <v>15</v>
      </c>
      <c r="D94">
        <v>3</v>
      </c>
      <c r="E94">
        <v>2000</v>
      </c>
      <c r="F94" t="str">
        <f t="shared" si="2"/>
        <v>Feb</v>
      </c>
      <c r="G94">
        <f t="shared" si="3"/>
        <v>6000</v>
      </c>
    </row>
    <row r="95" spans="1:7" x14ac:dyDescent="0.25">
      <c r="A95" s="1">
        <v>45587</v>
      </c>
      <c r="B95" t="s">
        <v>10</v>
      </c>
      <c r="C95" t="s">
        <v>6</v>
      </c>
      <c r="D95">
        <v>18</v>
      </c>
      <c r="E95">
        <v>1500</v>
      </c>
      <c r="F95" t="str">
        <f t="shared" si="2"/>
        <v>Oct</v>
      </c>
      <c r="G95">
        <f t="shared" si="3"/>
        <v>27000</v>
      </c>
    </row>
    <row r="96" spans="1:7" x14ac:dyDescent="0.25">
      <c r="A96" s="1">
        <v>45581</v>
      </c>
      <c r="B96" t="s">
        <v>9</v>
      </c>
      <c r="C96" t="s">
        <v>15</v>
      </c>
      <c r="D96">
        <v>17</v>
      </c>
      <c r="E96">
        <v>3000</v>
      </c>
      <c r="F96" t="str">
        <f t="shared" si="2"/>
        <v>Oct</v>
      </c>
      <c r="G96">
        <f t="shared" si="3"/>
        <v>51000</v>
      </c>
    </row>
    <row r="97" spans="1:7" x14ac:dyDescent="0.25">
      <c r="A97" s="1">
        <v>45347</v>
      </c>
      <c r="B97" t="s">
        <v>5</v>
      </c>
      <c r="C97" t="s">
        <v>6</v>
      </c>
      <c r="D97">
        <v>17</v>
      </c>
      <c r="E97">
        <v>1500</v>
      </c>
      <c r="F97" t="str">
        <f t="shared" si="2"/>
        <v>Feb</v>
      </c>
      <c r="G97">
        <f t="shared" si="3"/>
        <v>25500</v>
      </c>
    </row>
    <row r="98" spans="1:7" x14ac:dyDescent="0.25">
      <c r="A98" s="1">
        <v>45480</v>
      </c>
      <c r="B98" t="s">
        <v>11</v>
      </c>
      <c r="C98" t="s">
        <v>6</v>
      </c>
      <c r="D98">
        <v>4</v>
      </c>
      <c r="E98">
        <v>2000</v>
      </c>
      <c r="F98" t="str">
        <f t="shared" si="2"/>
        <v>Jul</v>
      </c>
      <c r="G98">
        <f t="shared" si="3"/>
        <v>8000</v>
      </c>
    </row>
    <row r="99" spans="1:7" x14ac:dyDescent="0.25">
      <c r="A99" s="1">
        <v>45527</v>
      </c>
      <c r="B99" t="s">
        <v>5</v>
      </c>
      <c r="C99" t="s">
        <v>7</v>
      </c>
      <c r="D99">
        <v>13</v>
      </c>
      <c r="E99">
        <v>2500</v>
      </c>
      <c r="F99" t="str">
        <f t="shared" si="2"/>
        <v>Aug</v>
      </c>
      <c r="G99">
        <f t="shared" si="3"/>
        <v>32500</v>
      </c>
    </row>
    <row r="100" spans="1:7" x14ac:dyDescent="0.25">
      <c r="A100" s="1">
        <v>45600</v>
      </c>
      <c r="B100" t="s">
        <v>12</v>
      </c>
      <c r="C100" t="s">
        <v>6</v>
      </c>
      <c r="D100">
        <v>9</v>
      </c>
      <c r="E100">
        <v>3000</v>
      </c>
      <c r="F100" t="str">
        <f t="shared" si="2"/>
        <v>Nov</v>
      </c>
      <c r="G100">
        <f t="shared" si="3"/>
        <v>27000</v>
      </c>
    </row>
    <row r="101" spans="1:7" x14ac:dyDescent="0.25">
      <c r="A101" s="1">
        <v>45298</v>
      </c>
      <c r="B101" t="s">
        <v>5</v>
      </c>
      <c r="C101" t="s">
        <v>15</v>
      </c>
      <c r="D101">
        <v>4</v>
      </c>
      <c r="E101">
        <v>4000</v>
      </c>
      <c r="F101" t="str">
        <f t="shared" si="2"/>
        <v>Jan</v>
      </c>
      <c r="G101">
        <f t="shared" si="3"/>
        <v>16000</v>
      </c>
    </row>
    <row r="102" spans="1:7" x14ac:dyDescent="0.25">
      <c r="A102" s="1">
        <v>45498</v>
      </c>
      <c r="B102" t="s">
        <v>5</v>
      </c>
      <c r="C102" t="s">
        <v>7</v>
      </c>
      <c r="D102">
        <v>17</v>
      </c>
      <c r="E102">
        <v>3000</v>
      </c>
      <c r="F102" t="str">
        <f t="shared" si="2"/>
        <v>Jul</v>
      </c>
      <c r="G102">
        <f t="shared" si="3"/>
        <v>51000</v>
      </c>
    </row>
    <row r="103" spans="1:7" x14ac:dyDescent="0.25">
      <c r="A103" s="1">
        <v>45373</v>
      </c>
      <c r="B103" t="s">
        <v>10</v>
      </c>
      <c r="C103" t="s">
        <v>6</v>
      </c>
      <c r="D103">
        <v>14</v>
      </c>
      <c r="E103">
        <v>4000</v>
      </c>
      <c r="F103" t="str">
        <f t="shared" si="2"/>
        <v>Mar</v>
      </c>
      <c r="G103">
        <f t="shared" si="3"/>
        <v>56000</v>
      </c>
    </row>
    <row r="104" spans="1:7" x14ac:dyDescent="0.25">
      <c r="A104" s="1">
        <v>45530</v>
      </c>
      <c r="B104" t="s">
        <v>5</v>
      </c>
      <c r="C104" t="s">
        <v>15</v>
      </c>
      <c r="D104">
        <v>11</v>
      </c>
      <c r="E104">
        <v>2000</v>
      </c>
      <c r="F104" t="str">
        <f t="shared" si="2"/>
        <v>Aug</v>
      </c>
      <c r="G104">
        <f t="shared" si="3"/>
        <v>22000</v>
      </c>
    </row>
    <row r="105" spans="1:7" x14ac:dyDescent="0.25">
      <c r="A105" s="1">
        <v>45477</v>
      </c>
      <c r="B105" t="s">
        <v>9</v>
      </c>
      <c r="C105" t="s">
        <v>7</v>
      </c>
      <c r="D105">
        <v>9</v>
      </c>
      <c r="E105">
        <v>3000</v>
      </c>
      <c r="F105" t="str">
        <f t="shared" si="2"/>
        <v>Jul</v>
      </c>
      <c r="G105">
        <f t="shared" si="3"/>
        <v>27000</v>
      </c>
    </row>
    <row r="106" spans="1:7" x14ac:dyDescent="0.25">
      <c r="A106" s="1">
        <v>45639</v>
      </c>
      <c r="B106" t="s">
        <v>10</v>
      </c>
      <c r="C106" t="s">
        <v>7</v>
      </c>
      <c r="D106">
        <v>12</v>
      </c>
      <c r="E106">
        <v>3500</v>
      </c>
      <c r="F106" t="str">
        <f t="shared" si="2"/>
        <v>Dec</v>
      </c>
      <c r="G106">
        <f t="shared" si="3"/>
        <v>42000</v>
      </c>
    </row>
    <row r="107" spans="1:7" x14ac:dyDescent="0.25">
      <c r="A107" s="1">
        <v>45487</v>
      </c>
      <c r="B107" t="s">
        <v>10</v>
      </c>
      <c r="C107" t="s">
        <v>15</v>
      </c>
      <c r="D107">
        <v>9</v>
      </c>
      <c r="E107">
        <v>1500</v>
      </c>
      <c r="F107" t="str">
        <f t="shared" si="2"/>
        <v>Jul</v>
      </c>
      <c r="G107">
        <f t="shared" si="3"/>
        <v>13500</v>
      </c>
    </row>
    <row r="108" spans="1:7" x14ac:dyDescent="0.25">
      <c r="A108" s="1">
        <v>45614</v>
      </c>
      <c r="B108" t="s">
        <v>12</v>
      </c>
      <c r="C108" t="s">
        <v>7</v>
      </c>
      <c r="D108">
        <v>5</v>
      </c>
      <c r="E108">
        <v>2500</v>
      </c>
      <c r="F108" t="str">
        <f t="shared" si="2"/>
        <v>Nov</v>
      </c>
      <c r="G108">
        <f t="shared" si="3"/>
        <v>12500</v>
      </c>
    </row>
    <row r="109" spans="1:7" x14ac:dyDescent="0.25">
      <c r="A109" s="1">
        <v>45434</v>
      </c>
      <c r="B109" t="s">
        <v>14</v>
      </c>
      <c r="C109" t="s">
        <v>15</v>
      </c>
      <c r="D109">
        <v>20</v>
      </c>
      <c r="E109">
        <v>2500</v>
      </c>
      <c r="F109" t="str">
        <f t="shared" si="2"/>
        <v>May</v>
      </c>
      <c r="G109">
        <f t="shared" si="3"/>
        <v>50000</v>
      </c>
    </row>
    <row r="110" spans="1:7" x14ac:dyDescent="0.25">
      <c r="A110" s="1">
        <v>45299</v>
      </c>
      <c r="B110" t="s">
        <v>5</v>
      </c>
      <c r="C110" t="s">
        <v>15</v>
      </c>
      <c r="D110">
        <v>8</v>
      </c>
      <c r="E110">
        <v>4000</v>
      </c>
      <c r="F110" t="str">
        <f t="shared" si="2"/>
        <v>Jan</v>
      </c>
      <c r="G110">
        <f t="shared" si="3"/>
        <v>32000</v>
      </c>
    </row>
    <row r="111" spans="1:7" x14ac:dyDescent="0.25">
      <c r="A111" s="1">
        <v>45405</v>
      </c>
      <c r="B111" t="s">
        <v>14</v>
      </c>
      <c r="C111" t="s">
        <v>15</v>
      </c>
      <c r="D111">
        <v>5</v>
      </c>
      <c r="E111">
        <v>3500</v>
      </c>
      <c r="F111" t="str">
        <f t="shared" si="2"/>
        <v>Apr</v>
      </c>
      <c r="G111">
        <f t="shared" si="3"/>
        <v>17500</v>
      </c>
    </row>
    <row r="112" spans="1:7" x14ac:dyDescent="0.25">
      <c r="A112" s="1">
        <v>45606</v>
      </c>
      <c r="B112" t="s">
        <v>11</v>
      </c>
      <c r="C112" t="s">
        <v>13</v>
      </c>
      <c r="D112">
        <v>17</v>
      </c>
      <c r="E112">
        <v>2500</v>
      </c>
      <c r="F112" t="str">
        <f t="shared" si="2"/>
        <v>Nov</v>
      </c>
      <c r="G112">
        <f t="shared" si="3"/>
        <v>42500</v>
      </c>
    </row>
    <row r="113" spans="1:7" x14ac:dyDescent="0.25">
      <c r="A113" s="1">
        <v>45423</v>
      </c>
      <c r="B113" t="s">
        <v>11</v>
      </c>
      <c r="C113" t="s">
        <v>6</v>
      </c>
      <c r="D113">
        <v>14</v>
      </c>
      <c r="E113">
        <v>1500</v>
      </c>
      <c r="F113" t="str">
        <f t="shared" si="2"/>
        <v>May</v>
      </c>
      <c r="G113">
        <f t="shared" si="3"/>
        <v>21000</v>
      </c>
    </row>
    <row r="114" spans="1:7" x14ac:dyDescent="0.25">
      <c r="A114" s="1">
        <v>45633</v>
      </c>
      <c r="B114" t="s">
        <v>9</v>
      </c>
      <c r="C114" t="s">
        <v>6</v>
      </c>
      <c r="D114">
        <v>18</v>
      </c>
      <c r="E114">
        <v>2000</v>
      </c>
      <c r="F114" t="str">
        <f t="shared" si="2"/>
        <v>Dec</v>
      </c>
      <c r="G114">
        <f t="shared" si="3"/>
        <v>36000</v>
      </c>
    </row>
    <row r="115" spans="1:7" x14ac:dyDescent="0.25">
      <c r="A115" s="1">
        <v>45493</v>
      </c>
      <c r="B115" t="s">
        <v>9</v>
      </c>
      <c r="C115" t="s">
        <v>13</v>
      </c>
      <c r="D115">
        <v>7</v>
      </c>
      <c r="E115">
        <v>2000</v>
      </c>
      <c r="F115" t="str">
        <f t="shared" si="2"/>
        <v>Jul</v>
      </c>
      <c r="G115">
        <f t="shared" si="3"/>
        <v>14000</v>
      </c>
    </row>
    <row r="116" spans="1:7" x14ac:dyDescent="0.25">
      <c r="A116" s="1">
        <v>45458</v>
      </c>
      <c r="B116" t="s">
        <v>14</v>
      </c>
      <c r="C116" t="s">
        <v>6</v>
      </c>
      <c r="D116">
        <v>1</v>
      </c>
      <c r="E116">
        <v>2500</v>
      </c>
      <c r="F116" t="str">
        <f t="shared" si="2"/>
        <v>Jun</v>
      </c>
      <c r="G116">
        <f t="shared" si="3"/>
        <v>2500</v>
      </c>
    </row>
    <row r="117" spans="1:7" x14ac:dyDescent="0.25">
      <c r="A117" s="1">
        <v>45503</v>
      </c>
      <c r="B117" t="s">
        <v>9</v>
      </c>
      <c r="C117" t="s">
        <v>13</v>
      </c>
      <c r="D117">
        <v>16</v>
      </c>
      <c r="E117">
        <v>4000</v>
      </c>
      <c r="F117" t="str">
        <f t="shared" si="2"/>
        <v>Jul</v>
      </c>
      <c r="G117">
        <f t="shared" si="3"/>
        <v>64000</v>
      </c>
    </row>
    <row r="118" spans="1:7" x14ac:dyDescent="0.25">
      <c r="A118" s="1">
        <v>45576</v>
      </c>
      <c r="B118" t="s">
        <v>14</v>
      </c>
      <c r="C118" t="s">
        <v>7</v>
      </c>
      <c r="D118">
        <v>7</v>
      </c>
      <c r="E118">
        <v>3000</v>
      </c>
      <c r="F118" t="str">
        <f t="shared" si="2"/>
        <v>Oct</v>
      </c>
      <c r="G118">
        <f t="shared" si="3"/>
        <v>21000</v>
      </c>
    </row>
    <row r="119" spans="1:7" x14ac:dyDescent="0.25">
      <c r="A119" s="1">
        <v>45369</v>
      </c>
      <c r="B119" t="s">
        <v>10</v>
      </c>
      <c r="C119" t="s">
        <v>6</v>
      </c>
      <c r="D119">
        <v>7</v>
      </c>
      <c r="E119">
        <v>4000</v>
      </c>
      <c r="F119" t="str">
        <f t="shared" si="2"/>
        <v>Mar</v>
      </c>
      <c r="G119">
        <f t="shared" si="3"/>
        <v>28000</v>
      </c>
    </row>
    <row r="120" spans="1:7" x14ac:dyDescent="0.25">
      <c r="A120" s="1">
        <v>45580</v>
      </c>
      <c r="B120" t="s">
        <v>11</v>
      </c>
      <c r="C120" t="s">
        <v>6</v>
      </c>
      <c r="D120">
        <v>19</v>
      </c>
      <c r="E120">
        <v>3500</v>
      </c>
      <c r="F120" t="str">
        <f t="shared" si="2"/>
        <v>Oct</v>
      </c>
      <c r="G120">
        <f t="shared" si="3"/>
        <v>66500</v>
      </c>
    </row>
    <row r="121" spans="1:7" x14ac:dyDescent="0.25">
      <c r="A121" s="1">
        <v>45429</v>
      </c>
      <c r="B121" t="s">
        <v>5</v>
      </c>
      <c r="C121" t="s">
        <v>13</v>
      </c>
      <c r="D121">
        <v>3</v>
      </c>
      <c r="E121">
        <v>2500</v>
      </c>
      <c r="F121" t="str">
        <f t="shared" si="2"/>
        <v>May</v>
      </c>
      <c r="G121">
        <f t="shared" si="3"/>
        <v>7500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DASH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</cp:lastModifiedBy>
  <dcterms:created xsi:type="dcterms:W3CDTF">2025-11-23T03:48:22Z</dcterms:created>
  <dcterms:modified xsi:type="dcterms:W3CDTF">2025-11-23T12:21:21Z</dcterms:modified>
</cp:coreProperties>
</file>